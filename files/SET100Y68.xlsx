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KER_COMPOSE\n8n\files\"/>
    </mc:Choice>
  </mc:AlternateContent>
  <xr:revisionPtr revIDLastSave="0" documentId="13_ncr:1_{34A096A8-62EC-4605-B2B1-C4E7CC58E49B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SET100" sheetId="12" r:id="rId1"/>
    <sheet name="GSymbol" sheetId="13" r:id="rId2"/>
  </sheets>
  <definedNames>
    <definedName name="_xlnm._FilterDatabase" localSheetId="0" hidden="1">'SET100'!$A$1:$S$101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13" l="1"/>
  <c r="B101" i="13"/>
  <c r="C101" i="13"/>
  <c r="D101" i="13"/>
  <c r="E101" i="13"/>
  <c r="F101" i="13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F1" i="13"/>
  <c r="F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E1" i="13"/>
  <c r="B2" i="13"/>
  <c r="C2" i="13"/>
  <c r="D2" i="13"/>
  <c r="B3" i="13"/>
  <c r="C3" i="13"/>
  <c r="D3" i="13"/>
  <c r="B4" i="13"/>
  <c r="C4" i="13"/>
  <c r="D4" i="13"/>
  <c r="B5" i="13"/>
  <c r="C5" i="13"/>
  <c r="D5" i="13"/>
  <c r="B6" i="13"/>
  <c r="C6" i="13"/>
  <c r="D6" i="13"/>
  <c r="B7" i="13"/>
  <c r="C7" i="13"/>
  <c r="D7" i="13"/>
  <c r="B8" i="13"/>
  <c r="C8" i="13"/>
  <c r="D8" i="13"/>
  <c r="B9" i="13"/>
  <c r="C9" i="13"/>
  <c r="D9" i="13"/>
  <c r="B10" i="13"/>
  <c r="C10" i="13"/>
  <c r="D10" i="13"/>
  <c r="B11" i="13"/>
  <c r="C11" i="13"/>
  <c r="D11" i="13"/>
  <c r="B12" i="13"/>
  <c r="C12" i="13"/>
  <c r="D12" i="13"/>
  <c r="B13" i="13"/>
  <c r="C13" i="13"/>
  <c r="D13" i="13"/>
  <c r="B14" i="13"/>
  <c r="C14" i="13"/>
  <c r="D14" i="13"/>
  <c r="B15" i="13"/>
  <c r="C15" i="13"/>
  <c r="D15" i="13"/>
  <c r="B16" i="13"/>
  <c r="C16" i="13"/>
  <c r="D16" i="13"/>
  <c r="B17" i="13"/>
  <c r="C17" i="13"/>
  <c r="D17" i="13"/>
  <c r="B18" i="13"/>
  <c r="C18" i="13"/>
  <c r="D18" i="13"/>
  <c r="B19" i="13"/>
  <c r="C19" i="13"/>
  <c r="D19" i="13"/>
  <c r="B20" i="13"/>
  <c r="C20" i="13"/>
  <c r="D20" i="13"/>
  <c r="B21" i="13"/>
  <c r="C21" i="13"/>
  <c r="D21" i="13"/>
  <c r="B22" i="13"/>
  <c r="C22" i="13"/>
  <c r="D22" i="13"/>
  <c r="B23" i="13"/>
  <c r="C23" i="13"/>
  <c r="D23" i="13"/>
  <c r="B24" i="13"/>
  <c r="C24" i="13"/>
  <c r="D24" i="13"/>
  <c r="B25" i="13"/>
  <c r="C25" i="13"/>
  <c r="D25" i="13"/>
  <c r="B26" i="13"/>
  <c r="C26" i="13"/>
  <c r="D26" i="13"/>
  <c r="B27" i="13"/>
  <c r="C27" i="13"/>
  <c r="D27" i="13"/>
  <c r="B28" i="13"/>
  <c r="C28" i="13"/>
  <c r="D28" i="13"/>
  <c r="B29" i="13"/>
  <c r="C29" i="13"/>
  <c r="D29" i="13"/>
  <c r="B30" i="13"/>
  <c r="C30" i="13"/>
  <c r="D30" i="13"/>
  <c r="B31" i="13"/>
  <c r="C31" i="13"/>
  <c r="D31" i="13"/>
  <c r="B32" i="13"/>
  <c r="C32" i="13"/>
  <c r="D32" i="13"/>
  <c r="B33" i="13"/>
  <c r="C33" i="13"/>
  <c r="D33" i="13"/>
  <c r="B34" i="13"/>
  <c r="C34" i="13"/>
  <c r="D34" i="13"/>
  <c r="B35" i="13"/>
  <c r="C35" i="13"/>
  <c r="D35" i="13"/>
  <c r="B36" i="13"/>
  <c r="C36" i="13"/>
  <c r="D36" i="13"/>
  <c r="B37" i="13"/>
  <c r="C37" i="13"/>
  <c r="D37" i="13"/>
  <c r="B38" i="13"/>
  <c r="C38" i="13"/>
  <c r="D38" i="13"/>
  <c r="B39" i="13"/>
  <c r="C39" i="13"/>
  <c r="D39" i="13"/>
  <c r="B40" i="13"/>
  <c r="C40" i="13"/>
  <c r="D40" i="13"/>
  <c r="B41" i="13"/>
  <c r="C41" i="13"/>
  <c r="D41" i="13"/>
  <c r="B42" i="13"/>
  <c r="C42" i="13"/>
  <c r="D42" i="13"/>
  <c r="B43" i="13"/>
  <c r="C43" i="13"/>
  <c r="D43" i="13"/>
  <c r="B44" i="13"/>
  <c r="C44" i="13"/>
  <c r="D44" i="13"/>
  <c r="B45" i="13"/>
  <c r="C45" i="13"/>
  <c r="D45" i="13"/>
  <c r="B46" i="13"/>
  <c r="C46" i="13"/>
  <c r="D46" i="13"/>
  <c r="B47" i="13"/>
  <c r="C47" i="13"/>
  <c r="D47" i="13"/>
  <c r="B48" i="13"/>
  <c r="C48" i="13"/>
  <c r="D48" i="13"/>
  <c r="B49" i="13"/>
  <c r="C49" i="13"/>
  <c r="D49" i="13"/>
  <c r="B50" i="13"/>
  <c r="C50" i="13"/>
  <c r="D50" i="13"/>
  <c r="B51" i="13"/>
  <c r="C51" i="13"/>
  <c r="D51" i="13"/>
  <c r="B52" i="13"/>
  <c r="C52" i="13"/>
  <c r="D52" i="13"/>
  <c r="B53" i="13"/>
  <c r="C53" i="13"/>
  <c r="D53" i="13"/>
  <c r="B54" i="13"/>
  <c r="C54" i="13"/>
  <c r="D54" i="13"/>
  <c r="B55" i="13"/>
  <c r="C55" i="13"/>
  <c r="D55" i="13"/>
  <c r="B56" i="13"/>
  <c r="C56" i="13"/>
  <c r="D56" i="13"/>
  <c r="B57" i="13"/>
  <c r="C57" i="13"/>
  <c r="D57" i="13"/>
  <c r="B58" i="13"/>
  <c r="C58" i="13"/>
  <c r="D58" i="13"/>
  <c r="B59" i="13"/>
  <c r="C59" i="13"/>
  <c r="D59" i="13"/>
  <c r="B60" i="13"/>
  <c r="C60" i="13"/>
  <c r="D60" i="13"/>
  <c r="B61" i="13"/>
  <c r="C61" i="13"/>
  <c r="D61" i="13"/>
  <c r="B62" i="13"/>
  <c r="C62" i="13"/>
  <c r="D62" i="13"/>
  <c r="B63" i="13"/>
  <c r="C63" i="13"/>
  <c r="D63" i="13"/>
  <c r="B64" i="13"/>
  <c r="C64" i="13"/>
  <c r="D64" i="13"/>
  <c r="B65" i="13"/>
  <c r="C65" i="13"/>
  <c r="D65" i="13"/>
  <c r="B66" i="13"/>
  <c r="C66" i="13"/>
  <c r="D66" i="13"/>
  <c r="B67" i="13"/>
  <c r="C67" i="13"/>
  <c r="D67" i="13"/>
  <c r="B68" i="13"/>
  <c r="C68" i="13"/>
  <c r="D68" i="13"/>
  <c r="B69" i="13"/>
  <c r="C69" i="13"/>
  <c r="D69" i="13"/>
  <c r="B70" i="13"/>
  <c r="C70" i="13"/>
  <c r="D70" i="13"/>
  <c r="B71" i="13"/>
  <c r="C71" i="13"/>
  <c r="D71" i="13"/>
  <c r="B72" i="13"/>
  <c r="C72" i="13"/>
  <c r="D72" i="13"/>
  <c r="B73" i="13"/>
  <c r="C73" i="13"/>
  <c r="D73" i="13"/>
  <c r="B74" i="13"/>
  <c r="C74" i="13"/>
  <c r="D74" i="13"/>
  <c r="B75" i="13"/>
  <c r="C75" i="13"/>
  <c r="D75" i="13"/>
  <c r="B76" i="13"/>
  <c r="C76" i="13"/>
  <c r="D76" i="13"/>
  <c r="B77" i="13"/>
  <c r="C77" i="13"/>
  <c r="D77" i="13"/>
  <c r="B78" i="13"/>
  <c r="C78" i="13"/>
  <c r="D78" i="13"/>
  <c r="B79" i="13"/>
  <c r="C79" i="13"/>
  <c r="D79" i="13"/>
  <c r="B80" i="13"/>
  <c r="C80" i="13"/>
  <c r="D80" i="13"/>
  <c r="B81" i="13"/>
  <c r="C81" i="13"/>
  <c r="D81" i="13"/>
  <c r="B82" i="13"/>
  <c r="C82" i="13"/>
  <c r="D82" i="13"/>
  <c r="B83" i="13"/>
  <c r="C83" i="13"/>
  <c r="D83" i="13"/>
  <c r="B84" i="13"/>
  <c r="C84" i="13"/>
  <c r="D84" i="13"/>
  <c r="B85" i="13"/>
  <c r="C85" i="13"/>
  <c r="D85" i="13"/>
  <c r="B86" i="13"/>
  <c r="C86" i="13"/>
  <c r="D86" i="13"/>
  <c r="B87" i="13"/>
  <c r="C87" i="13"/>
  <c r="D87" i="13"/>
  <c r="B88" i="13"/>
  <c r="C88" i="13"/>
  <c r="D88" i="13"/>
  <c r="B89" i="13"/>
  <c r="C89" i="13"/>
  <c r="D89" i="13"/>
  <c r="B90" i="13"/>
  <c r="C90" i="13"/>
  <c r="D90" i="13"/>
  <c r="B91" i="13"/>
  <c r="C91" i="13"/>
  <c r="D91" i="13"/>
  <c r="B92" i="13"/>
  <c r="C92" i="13"/>
  <c r="D92" i="13"/>
  <c r="B93" i="13"/>
  <c r="C93" i="13"/>
  <c r="D93" i="13"/>
  <c r="B94" i="13"/>
  <c r="C94" i="13"/>
  <c r="D94" i="13"/>
  <c r="B95" i="13"/>
  <c r="C95" i="13"/>
  <c r="D95" i="13"/>
  <c r="B96" i="13"/>
  <c r="C96" i="13"/>
  <c r="D96" i="13"/>
  <c r="B97" i="13"/>
  <c r="C97" i="13"/>
  <c r="D97" i="13"/>
  <c r="B98" i="13"/>
  <c r="C98" i="13"/>
  <c r="D98" i="13"/>
  <c r="B99" i="13"/>
  <c r="C99" i="13"/>
  <c r="D99" i="13"/>
  <c r="B100" i="13"/>
  <c r="C100" i="13"/>
  <c r="D100" i="13"/>
  <c r="C1" i="13"/>
  <c r="D1" i="13"/>
  <c r="A2" i="13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B1" i="13"/>
</calcChain>
</file>

<file path=xl/sharedStrings.xml><?xml version="1.0" encoding="utf-8"?>
<sst xmlns="http://schemas.openxmlformats.org/spreadsheetml/2006/main" count="230" uniqueCount="144">
  <si>
    <t>กลุ่มอุตสาหกรรม</t>
  </si>
  <si>
    <t>PTT</t>
  </si>
  <si>
    <t>PTTEP</t>
  </si>
  <si>
    <t>GULF</t>
  </si>
  <si>
    <t>GPSC</t>
  </si>
  <si>
    <t>TOP</t>
  </si>
  <si>
    <t>BCP</t>
  </si>
  <si>
    <t>BANPU</t>
  </si>
  <si>
    <t>EGCO</t>
  </si>
  <si>
    <t>RATCH</t>
  </si>
  <si>
    <t>ธนาคาร</t>
  </si>
  <si>
    <t>BBL</t>
  </si>
  <si>
    <t>KBANK</t>
  </si>
  <si>
    <t>SCB</t>
  </si>
  <si>
    <t>KTB</t>
  </si>
  <si>
    <t>TTB</t>
  </si>
  <si>
    <t>KKP</t>
  </si>
  <si>
    <t>TISCO</t>
  </si>
  <si>
    <t>KTC</t>
  </si>
  <si>
    <t>MTC</t>
  </si>
  <si>
    <t>SAWAD</t>
  </si>
  <si>
    <t>พาณิชย์</t>
  </si>
  <si>
    <t>CPALL</t>
  </si>
  <si>
    <t>CPAXT</t>
  </si>
  <si>
    <t>HMPRO</t>
  </si>
  <si>
    <t>BJC</t>
  </si>
  <si>
    <t>COM7</t>
  </si>
  <si>
    <t>ADVANC</t>
  </si>
  <si>
    <t>การแพทย์</t>
  </si>
  <si>
    <t>BDMS</t>
  </si>
  <si>
    <t>BH</t>
  </si>
  <si>
    <t>AOT</t>
  </si>
  <si>
    <t>CPN</t>
  </si>
  <si>
    <t>LH</t>
  </si>
  <si>
    <t>WHA</t>
  </si>
  <si>
    <t>AWC</t>
  </si>
  <si>
    <t>CPF</t>
  </si>
  <si>
    <t>CBG</t>
  </si>
  <si>
    <t>OSP</t>
  </si>
  <si>
    <t>ITC</t>
  </si>
  <si>
    <t>DELTA</t>
  </si>
  <si>
    <t>HANA</t>
  </si>
  <si>
    <t>KCE</t>
  </si>
  <si>
    <t>IVL</t>
  </si>
  <si>
    <t>CENTEL</t>
  </si>
  <si>
    <t>บรรจุภัณฑ์</t>
  </si>
  <si>
    <t>SCGP</t>
  </si>
  <si>
    <t>ลำดับ</t>
  </si>
  <si>
    <t>Symbol</t>
  </si>
  <si>
    <t>พลังงาน</t>
  </si>
  <si>
    <t>OR</t>
  </si>
  <si>
    <t>เทคโนโลยี</t>
  </si>
  <si>
    <t>อสังหาฯ</t>
  </si>
  <si>
    <t>AP</t>
  </si>
  <si>
    <t>SPALI</t>
  </si>
  <si>
    <t>SIRI</t>
  </si>
  <si>
    <t>ขนส่ง</t>
  </si>
  <si>
    <t>อาหาร</t>
  </si>
  <si>
    <t>เงินทุน</t>
  </si>
  <si>
    <t>ปิโตรเคมี</t>
  </si>
  <si>
    <t>วัสดุก่อสร้าง</t>
  </si>
  <si>
    <t>SCC</t>
  </si>
  <si>
    <t>รับเหมา</t>
  </si>
  <si>
    <t>ICHI</t>
  </si>
  <si>
    <t>AMATA</t>
  </si>
  <si>
    <t>เกษตร</t>
  </si>
  <si>
    <t>BGRIM</t>
  </si>
  <si>
    <t>MEGA</t>
  </si>
  <si>
    <t>GLOBAL</t>
  </si>
  <si>
    <t>DOHOME</t>
  </si>
  <si>
    <t>MOSHI</t>
  </si>
  <si>
    <t>BPP</t>
  </si>
  <si>
    <t>GUNKUL</t>
  </si>
  <si>
    <t>BCPG</t>
  </si>
  <si>
    <t>CHG</t>
  </si>
  <si>
    <t>BCH</t>
  </si>
  <si>
    <t>PR9</t>
  </si>
  <si>
    <t>SAPPE</t>
  </si>
  <si>
    <t>TFG</t>
  </si>
  <si>
    <t>SJWD</t>
  </si>
  <si>
    <t>PRM</t>
  </si>
  <si>
    <t>RCL</t>
  </si>
  <si>
    <t>SC</t>
  </si>
  <si>
    <t>ORI</t>
  </si>
  <si>
    <t>QH</t>
  </si>
  <si>
    <t>JMT</t>
  </si>
  <si>
    <t>JMART</t>
  </si>
  <si>
    <t>BAM</t>
  </si>
  <si>
    <t>AEONTS</t>
  </si>
  <si>
    <t>ASK</t>
  </si>
  <si>
    <t>ประกัน</t>
  </si>
  <si>
    <t>BLA</t>
  </si>
  <si>
    <t>TLI</t>
  </si>
  <si>
    <t>อิเล็กทรอนิกส์</t>
  </si>
  <si>
    <t>JTS</t>
  </si>
  <si>
    <t>ท่องเที่ยว</t>
  </si>
  <si>
    <t>ERW</t>
  </si>
  <si>
    <t>TASCO</t>
  </si>
  <si>
    <t>STA</t>
  </si>
  <si>
    <t>STGT</t>
  </si>
  <si>
    <t>N/A</t>
  </si>
  <si>
    <t>Market Cap (ล้านบาท)</t>
  </si>
  <si>
    <t>SET50</t>
  </si>
  <si>
    <t>SETHD</t>
  </si>
  <si>
    <t>ICT</t>
  </si>
  <si>
    <t>ราคาสิ้นปี 68</t>
  </si>
  <si>
    <t>ราคาล่าสุด</t>
  </si>
  <si>
    <t>TCAP</t>
  </si>
  <si>
    <t>ราคาสิ้นปี 68 ณ วันที่</t>
  </si>
  <si>
    <t>ราคาล่าสุด ณ วันที่</t>
  </si>
  <si>
    <t>ส่วนต่าง (%)</t>
  </si>
  <si>
    <t>P/E</t>
  </si>
  <si>
    <t>P/BV</t>
  </si>
  <si>
    <t>D/E</t>
  </si>
  <si>
    <t>EPS</t>
  </si>
  <si>
    <t>ครั้ง/ปี</t>
  </si>
  <si>
    <t>วันปันผลปี 68</t>
  </si>
  <si>
    <t>อิเล็กฯ</t>
  </si>
  <si>
    <t>Yield</t>
  </si>
  <si>
    <t>ประมาณการปี 69</t>
  </si>
  <si>
    <t>PTG</t>
  </si>
  <si>
    <t>วัสดุฯ</t>
  </si>
  <si>
    <t>BTG</t>
  </si>
  <si>
    <t>GFPT</t>
  </si>
  <si>
    <t>AAV</t>
  </si>
  <si>
    <t>-</t>
  </si>
  <si>
    <t>BA</t>
  </si>
  <si>
    <t>STECON</t>
  </si>
  <si>
    <t>THANI</t>
  </si>
  <si>
    <t>SNNP</t>
  </si>
  <si>
    <t>SPA</t>
  </si>
  <si>
    <t>บริการ</t>
  </si>
  <si>
    <t>MEB</t>
  </si>
  <si>
    <t>FORTH</t>
  </si>
  <si>
    <t>KISS</t>
  </si>
  <si>
    <t>อุปโภคบริโภค</t>
  </si>
  <si>
    <t>NSL</t>
  </si>
  <si>
    <t>MALEE</t>
  </si>
  <si>
    <t>SABINA</t>
  </si>
  <si>
    <t>แฟชั่น</t>
  </si>
  <si>
    <t>AU</t>
  </si>
  <si>
    <t>MASTER</t>
  </si>
  <si>
    <t>PLANB</t>
  </si>
  <si>
    <t>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</si>
</sst>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3" fontId="0" fillId="0" borderId="0" xfId="0" applyNumberFormat="1"/>
    <xf numFmtId="15" fontId="0" fillId="0" borderId="0" xfId="0" applyNumberFormat="1"/>
    <xf numFmtId="43" fontId="0" fillId="0" borderId="0" xfId="1" applyFont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0F4B-6F45-4BA8-ABC2-F66FFE76525B}">
  <dimension ref="A1:S101"/>
  <sheetViews>
    <sheetView workbookViewId="0">
      <selection activeCell="O1" sqref="O1:P1048576"/>
    </sheetView>
  </sheetViews>
  <sheetFormatPr defaultRowHeight="14.25" x14ac:dyDescent="0.2"/>
  <cols>
    <col min="9" max="9" width="5.875" bestFit="1" customWidth="1"/>
    <col min="10" max="10" width="16.875" bestFit="1" customWidth="1"/>
    <col min="11" max="11" width="12.5" bestFit="1" customWidth="1"/>
    <col min="12" max="12" width="17.125" bestFit="1" customWidth="1"/>
    <col min="14" max="14" width="10.875" bestFit="1" customWidth="1"/>
    <col min="18" max="18" width="11.125" bestFit="1" customWidth="1"/>
    <col min="19" max="19" width="13.875" bestFit="1" customWidth="1"/>
  </cols>
  <sheetData>
    <row r="1" spans="1:19" x14ac:dyDescent="0.2">
      <c r="A1" t="s">
        <v>47</v>
      </c>
      <c r="B1" t="s">
        <v>48</v>
      </c>
      <c r="C1" t="s">
        <v>101</v>
      </c>
      <c r="D1" t="s">
        <v>0</v>
      </c>
      <c r="E1" t="s">
        <v>111</v>
      </c>
      <c r="F1" t="s">
        <v>112</v>
      </c>
      <c r="G1" t="s">
        <v>113</v>
      </c>
      <c r="H1" t="s">
        <v>118</v>
      </c>
      <c r="I1" t="s">
        <v>114</v>
      </c>
      <c r="J1" t="s">
        <v>108</v>
      </c>
      <c r="K1" t="s">
        <v>105</v>
      </c>
      <c r="L1" t="s">
        <v>109</v>
      </c>
      <c r="M1" t="s">
        <v>106</v>
      </c>
      <c r="N1" t="s">
        <v>110</v>
      </c>
      <c r="O1" t="s">
        <v>102</v>
      </c>
      <c r="P1" t="s">
        <v>103</v>
      </c>
      <c r="Q1" t="s">
        <v>115</v>
      </c>
      <c r="R1" t="s">
        <v>116</v>
      </c>
      <c r="S1" t="s">
        <v>119</v>
      </c>
    </row>
    <row r="2" spans="1:19" x14ac:dyDescent="0.2">
      <c r="A2">
        <v>1</v>
      </c>
      <c r="B2" t="s">
        <v>40</v>
      </c>
      <c r="C2" s="2">
        <v>1215000</v>
      </c>
      <c r="D2" t="s">
        <v>93</v>
      </c>
      <c r="E2">
        <v>65.400000000000006</v>
      </c>
      <c r="F2">
        <v>18.600000000000001</v>
      </c>
      <c r="G2">
        <v>0.25</v>
      </c>
      <c r="H2" s="1">
        <v>5.0000000000000001E-3</v>
      </c>
      <c r="I2">
        <v>1.48</v>
      </c>
      <c r="J2" s="3">
        <v>25202</v>
      </c>
      <c r="K2">
        <v>95</v>
      </c>
      <c r="L2" s="3">
        <v>25244</v>
      </c>
      <c r="M2">
        <v>97.5</v>
      </c>
      <c r="N2" s="1">
        <v>2.63E-2</v>
      </c>
      <c r="O2">
        <v>1</v>
      </c>
      <c r="Q2">
        <v>1</v>
      </c>
      <c r="R2" s="3">
        <v>24896</v>
      </c>
      <c r="S2" s="3">
        <v>25261</v>
      </c>
    </row>
    <row r="3" spans="1:19" x14ac:dyDescent="0.2">
      <c r="A3">
        <v>2</v>
      </c>
      <c r="B3" t="s">
        <v>1</v>
      </c>
      <c r="C3" s="2">
        <v>971000</v>
      </c>
      <c r="D3" t="s">
        <v>49</v>
      </c>
      <c r="E3">
        <v>9.4499999999999993</v>
      </c>
      <c r="F3">
        <v>0.84</v>
      </c>
      <c r="G3">
        <v>0.88</v>
      </c>
      <c r="H3" s="1">
        <v>5.8000000000000003E-2</v>
      </c>
      <c r="I3">
        <v>3.65</v>
      </c>
      <c r="J3" s="3">
        <v>25202</v>
      </c>
      <c r="K3">
        <v>34.25</v>
      </c>
      <c r="L3" s="3">
        <v>25244</v>
      </c>
      <c r="M3">
        <v>34</v>
      </c>
      <c r="N3" s="1">
        <v>-7.3000000000000001E-3</v>
      </c>
      <c r="O3">
        <v>1</v>
      </c>
      <c r="P3">
        <v>1</v>
      </c>
      <c r="Q3">
        <v>2</v>
      </c>
      <c r="R3" s="3">
        <v>25085</v>
      </c>
      <c r="S3" s="3">
        <v>25267</v>
      </c>
    </row>
    <row r="4" spans="1:19" x14ac:dyDescent="0.2">
      <c r="A4">
        <v>3</v>
      </c>
      <c r="B4" t="s">
        <v>31</v>
      </c>
      <c r="C4" s="2">
        <v>878000</v>
      </c>
      <c r="D4" t="s">
        <v>56</v>
      </c>
      <c r="E4">
        <v>47.8</v>
      </c>
      <c r="F4">
        <v>7.75</v>
      </c>
      <c r="G4">
        <v>1.1000000000000001</v>
      </c>
      <c r="H4" s="1">
        <v>1.0999999999999999E-2</v>
      </c>
      <c r="I4">
        <v>1.25</v>
      </c>
      <c r="J4" s="3">
        <v>25202</v>
      </c>
      <c r="K4">
        <v>61.5</v>
      </c>
      <c r="L4" s="3">
        <v>25244</v>
      </c>
      <c r="M4">
        <v>61.25</v>
      </c>
      <c r="N4" s="1">
        <v>-4.1000000000000003E-3</v>
      </c>
      <c r="O4">
        <v>1</v>
      </c>
      <c r="Q4">
        <v>1</v>
      </c>
      <c r="R4" s="3">
        <v>24881</v>
      </c>
      <c r="S4" s="3">
        <v>25246</v>
      </c>
    </row>
    <row r="5" spans="1:19" x14ac:dyDescent="0.2">
      <c r="A5">
        <v>4</v>
      </c>
      <c r="B5" t="s">
        <v>27</v>
      </c>
      <c r="C5" s="2">
        <v>728000</v>
      </c>
      <c r="D5" t="s">
        <v>104</v>
      </c>
      <c r="E5">
        <v>21.5</v>
      </c>
      <c r="F5">
        <v>7.6</v>
      </c>
      <c r="G5">
        <v>1.45</v>
      </c>
      <c r="H5" s="1">
        <v>3.9E-2</v>
      </c>
      <c r="I5">
        <v>9.85</v>
      </c>
      <c r="J5" s="3">
        <v>25202</v>
      </c>
      <c r="K5">
        <v>240</v>
      </c>
      <c r="L5" s="3">
        <v>25244</v>
      </c>
      <c r="M5">
        <v>245</v>
      </c>
      <c r="N5" s="1">
        <v>2.0799999999999999E-2</v>
      </c>
      <c r="O5">
        <v>1</v>
      </c>
      <c r="P5">
        <v>1</v>
      </c>
      <c r="Q5">
        <v>2</v>
      </c>
      <c r="R5" s="3">
        <v>25069</v>
      </c>
      <c r="S5" s="3">
        <v>25254</v>
      </c>
    </row>
    <row r="6" spans="1:19" x14ac:dyDescent="0.2">
      <c r="A6">
        <v>5</v>
      </c>
      <c r="B6" t="s">
        <v>3</v>
      </c>
      <c r="C6" s="2">
        <v>639000</v>
      </c>
      <c r="D6" t="s">
        <v>49</v>
      </c>
      <c r="E6">
        <v>35.200000000000003</v>
      </c>
      <c r="F6">
        <v>4.75</v>
      </c>
      <c r="G6">
        <v>1.8</v>
      </c>
      <c r="H6" s="1">
        <v>1.2E-2</v>
      </c>
      <c r="I6">
        <v>1.35</v>
      </c>
      <c r="J6" s="3">
        <v>25202</v>
      </c>
      <c r="K6">
        <v>55</v>
      </c>
      <c r="L6" s="3">
        <v>25244</v>
      </c>
      <c r="M6">
        <v>54.5</v>
      </c>
      <c r="N6" s="1">
        <v>-9.1000000000000004E-3</v>
      </c>
      <c r="O6">
        <v>1</v>
      </c>
      <c r="Q6">
        <v>1</v>
      </c>
      <c r="R6" s="3">
        <v>24897</v>
      </c>
      <c r="S6" s="3">
        <v>25262</v>
      </c>
    </row>
    <row r="7" spans="1:19" x14ac:dyDescent="0.2">
      <c r="A7">
        <v>6</v>
      </c>
      <c r="B7" t="s">
        <v>2</v>
      </c>
      <c r="C7" s="2">
        <v>601000</v>
      </c>
      <c r="D7" t="s">
        <v>49</v>
      </c>
      <c r="E7">
        <v>8.15</v>
      </c>
      <c r="F7">
        <v>1.1399999999999999</v>
      </c>
      <c r="G7">
        <v>0.3</v>
      </c>
      <c r="H7" s="1">
        <v>6.3E-2</v>
      </c>
      <c r="I7">
        <v>18.55</v>
      </c>
      <c r="J7" s="3">
        <v>25202</v>
      </c>
      <c r="K7">
        <v>152</v>
      </c>
      <c r="L7" s="3">
        <v>25244</v>
      </c>
      <c r="M7">
        <v>151</v>
      </c>
      <c r="N7" s="1">
        <v>-6.6E-3</v>
      </c>
      <c r="O7">
        <v>1</v>
      </c>
      <c r="P7">
        <v>1</v>
      </c>
      <c r="Q7">
        <v>2</v>
      </c>
      <c r="R7" s="3">
        <v>25077</v>
      </c>
      <c r="S7" s="3">
        <v>25245</v>
      </c>
    </row>
    <row r="8" spans="1:19" x14ac:dyDescent="0.2">
      <c r="A8">
        <v>7</v>
      </c>
      <c r="B8" t="s">
        <v>22</v>
      </c>
      <c r="C8" s="2">
        <v>583000</v>
      </c>
      <c r="D8" t="s">
        <v>21</v>
      </c>
      <c r="E8">
        <v>28.6</v>
      </c>
      <c r="F8">
        <v>6.25</v>
      </c>
      <c r="G8">
        <v>1.95</v>
      </c>
      <c r="H8" s="1">
        <v>1.9E-2</v>
      </c>
      <c r="I8">
        <v>2.1800000000000002</v>
      </c>
      <c r="J8" s="3">
        <v>25202</v>
      </c>
      <c r="K8">
        <v>64</v>
      </c>
      <c r="L8" s="3">
        <v>25244</v>
      </c>
      <c r="M8">
        <v>65</v>
      </c>
      <c r="N8" s="1">
        <v>1.5599999999999999E-2</v>
      </c>
      <c r="O8">
        <v>1</v>
      </c>
      <c r="Q8">
        <v>1</v>
      </c>
      <c r="R8" s="3">
        <v>24965</v>
      </c>
      <c r="S8" s="3">
        <v>25331</v>
      </c>
    </row>
    <row r="9" spans="1:19" x14ac:dyDescent="0.2">
      <c r="A9">
        <v>8</v>
      </c>
      <c r="B9" t="s">
        <v>29</v>
      </c>
      <c r="C9" s="2">
        <v>461000</v>
      </c>
      <c r="D9" t="s">
        <v>28</v>
      </c>
      <c r="E9">
        <v>30.8</v>
      </c>
      <c r="F9">
        <v>4.95</v>
      </c>
      <c r="G9">
        <v>0.4</v>
      </c>
      <c r="H9" s="1">
        <v>2.1999999999999999E-2</v>
      </c>
      <c r="I9">
        <v>0.96</v>
      </c>
      <c r="J9" s="3">
        <v>25202</v>
      </c>
      <c r="K9">
        <v>28.5</v>
      </c>
      <c r="L9" s="3">
        <v>25244</v>
      </c>
      <c r="M9">
        <v>29</v>
      </c>
      <c r="N9" s="1">
        <v>1.7500000000000002E-2</v>
      </c>
      <c r="O9">
        <v>1</v>
      </c>
      <c r="Q9">
        <v>2</v>
      </c>
      <c r="R9" s="3">
        <v>25093</v>
      </c>
      <c r="S9" s="3">
        <v>25272</v>
      </c>
    </row>
    <row r="10" spans="1:19" x14ac:dyDescent="0.2">
      <c r="A10">
        <v>9</v>
      </c>
      <c r="B10" t="s">
        <v>12</v>
      </c>
      <c r="C10" s="2">
        <v>338000</v>
      </c>
      <c r="D10" t="s">
        <v>10</v>
      </c>
      <c r="E10">
        <v>8.35</v>
      </c>
      <c r="F10">
        <v>0.66</v>
      </c>
      <c r="G10" t="s">
        <v>100</v>
      </c>
      <c r="H10" s="1">
        <v>4.2999999999999997E-2</v>
      </c>
      <c r="I10">
        <v>18.25</v>
      </c>
      <c r="J10" s="3">
        <v>25202</v>
      </c>
      <c r="K10">
        <v>141</v>
      </c>
      <c r="L10" s="3">
        <v>25244</v>
      </c>
      <c r="M10">
        <v>142.5</v>
      </c>
      <c r="N10" s="1">
        <v>1.06E-2</v>
      </c>
      <c r="O10">
        <v>1</v>
      </c>
      <c r="P10">
        <v>1</v>
      </c>
      <c r="Q10">
        <v>2</v>
      </c>
      <c r="R10" s="3">
        <v>25092</v>
      </c>
      <c r="S10" s="3">
        <v>25309</v>
      </c>
    </row>
    <row r="11" spans="1:19" x14ac:dyDescent="0.2">
      <c r="A11">
        <v>10</v>
      </c>
      <c r="B11" t="s">
        <v>11</v>
      </c>
      <c r="C11" s="2">
        <v>307000</v>
      </c>
      <c r="D11" t="s">
        <v>10</v>
      </c>
      <c r="E11">
        <v>7.15</v>
      </c>
      <c r="F11">
        <v>0.56000000000000005</v>
      </c>
      <c r="G11" t="s">
        <v>100</v>
      </c>
      <c r="H11" s="1">
        <v>4.5999999999999999E-2</v>
      </c>
      <c r="I11">
        <v>21.45</v>
      </c>
      <c r="J11" s="3">
        <v>25202</v>
      </c>
      <c r="K11">
        <v>159</v>
      </c>
      <c r="L11" s="3">
        <v>25244</v>
      </c>
      <c r="M11">
        <v>161</v>
      </c>
      <c r="N11" s="1">
        <v>1.26E-2</v>
      </c>
      <c r="O11">
        <v>1</v>
      </c>
      <c r="P11">
        <v>1</v>
      </c>
      <c r="Q11">
        <v>2</v>
      </c>
      <c r="R11" s="3">
        <v>25085</v>
      </c>
      <c r="S11" s="3">
        <v>25315</v>
      </c>
    </row>
    <row r="12" spans="1:19" x14ac:dyDescent="0.2">
      <c r="A12">
        <v>11</v>
      </c>
      <c r="B12" t="s">
        <v>13</v>
      </c>
      <c r="C12" s="2">
        <v>289000</v>
      </c>
      <c r="D12" t="s">
        <v>10</v>
      </c>
      <c r="E12">
        <v>9.1</v>
      </c>
      <c r="F12">
        <v>0.76</v>
      </c>
      <c r="G12" t="s">
        <v>100</v>
      </c>
      <c r="H12" s="1">
        <v>7.5999999999999998E-2</v>
      </c>
      <c r="I12">
        <v>13.55</v>
      </c>
      <c r="J12" s="3">
        <v>25202</v>
      </c>
      <c r="K12">
        <v>108</v>
      </c>
      <c r="L12" s="3">
        <v>25244</v>
      </c>
      <c r="M12">
        <v>111</v>
      </c>
      <c r="N12" s="1">
        <v>2.7799999999999998E-2</v>
      </c>
      <c r="O12">
        <v>1</v>
      </c>
      <c r="P12">
        <v>1</v>
      </c>
      <c r="Q12">
        <v>2</v>
      </c>
      <c r="R12" s="3">
        <v>25061</v>
      </c>
      <c r="S12" s="3">
        <v>25310</v>
      </c>
    </row>
    <row r="13" spans="1:19" x14ac:dyDescent="0.2">
      <c r="A13">
        <v>12</v>
      </c>
      <c r="B13" t="s">
        <v>61</v>
      </c>
      <c r="C13" s="2">
        <v>272000</v>
      </c>
      <c r="D13" t="s">
        <v>60</v>
      </c>
      <c r="E13">
        <v>15.4</v>
      </c>
      <c r="F13">
        <v>0.94</v>
      </c>
      <c r="G13">
        <v>1.1499999999999999</v>
      </c>
      <c r="H13" s="1">
        <v>2.9000000000000001E-2</v>
      </c>
      <c r="I13">
        <v>15.15</v>
      </c>
      <c r="J13" s="3">
        <v>25202</v>
      </c>
      <c r="K13">
        <v>231</v>
      </c>
      <c r="L13" s="3">
        <v>25244</v>
      </c>
      <c r="M13">
        <v>227</v>
      </c>
      <c r="N13" s="1">
        <v>-1.7299999999999999E-2</v>
      </c>
      <c r="O13">
        <v>1</v>
      </c>
      <c r="P13">
        <v>1</v>
      </c>
      <c r="Q13">
        <v>2</v>
      </c>
      <c r="R13" s="3">
        <v>25058</v>
      </c>
      <c r="S13" s="3">
        <v>25440</v>
      </c>
    </row>
    <row r="14" spans="1:19" x14ac:dyDescent="0.2">
      <c r="A14">
        <v>13</v>
      </c>
      <c r="B14" t="s">
        <v>23</v>
      </c>
      <c r="C14" s="2">
        <v>271000</v>
      </c>
      <c r="D14" t="s">
        <v>21</v>
      </c>
      <c r="E14">
        <v>31.9</v>
      </c>
      <c r="F14">
        <v>1.92</v>
      </c>
      <c r="G14">
        <v>0.85</v>
      </c>
      <c r="H14" s="1">
        <v>1.6E-2</v>
      </c>
      <c r="I14">
        <v>0.98</v>
      </c>
      <c r="J14" s="3">
        <v>25202</v>
      </c>
      <c r="K14">
        <v>25.5</v>
      </c>
      <c r="L14" s="3">
        <v>25244</v>
      </c>
      <c r="M14">
        <v>25.75</v>
      </c>
      <c r="N14" s="1">
        <v>9.7999999999999997E-3</v>
      </c>
      <c r="O14">
        <v>1</v>
      </c>
      <c r="Q14">
        <v>2</v>
      </c>
      <c r="R14" s="3">
        <v>25071</v>
      </c>
      <c r="S14" s="3">
        <v>25437</v>
      </c>
    </row>
    <row r="15" spans="1:19" x14ac:dyDescent="0.2">
      <c r="A15">
        <v>14</v>
      </c>
      <c r="B15" t="s">
        <v>14</v>
      </c>
      <c r="C15" s="2">
        <v>262000</v>
      </c>
      <c r="D15" t="s">
        <v>10</v>
      </c>
      <c r="E15">
        <v>6.45</v>
      </c>
      <c r="F15">
        <v>0.62</v>
      </c>
      <c r="G15" t="s">
        <v>100</v>
      </c>
      <c r="H15" s="1">
        <v>5.2999999999999999E-2</v>
      </c>
      <c r="I15">
        <v>2.88</v>
      </c>
      <c r="J15" s="3">
        <v>25202</v>
      </c>
      <c r="K15">
        <v>18.5</v>
      </c>
      <c r="L15" s="3">
        <v>25244</v>
      </c>
      <c r="M15">
        <v>18.8</v>
      </c>
      <c r="N15" s="1">
        <v>1.6199999999999999E-2</v>
      </c>
      <c r="O15">
        <v>1</v>
      </c>
      <c r="P15">
        <v>1</v>
      </c>
      <c r="Q15">
        <v>1</v>
      </c>
      <c r="R15" s="3">
        <v>24945</v>
      </c>
      <c r="S15" s="3">
        <v>25311</v>
      </c>
    </row>
    <row r="16" spans="1:19" x14ac:dyDescent="0.2">
      <c r="A16">
        <v>15</v>
      </c>
      <c r="B16" t="b">
        <v>1</v>
      </c>
      <c r="C16" s="2">
        <v>243000</v>
      </c>
      <c r="D16" t="s">
        <v>104</v>
      </c>
      <c r="E16">
        <v>44.5</v>
      </c>
      <c r="F16">
        <v>3.15</v>
      </c>
      <c r="G16">
        <v>3.25</v>
      </c>
      <c r="H16" s="1">
        <v>1.2999999999999999E-2</v>
      </c>
      <c r="I16">
        <v>0.18</v>
      </c>
      <c r="J16" s="3">
        <v>25202</v>
      </c>
      <c r="K16">
        <v>6.95</v>
      </c>
      <c r="L16" s="3">
        <v>25244</v>
      </c>
      <c r="M16">
        <v>7.05</v>
      </c>
      <c r="N16" s="1">
        <v>1.44E-2</v>
      </c>
      <c r="O16">
        <v>1</v>
      </c>
      <c r="Q16">
        <v>1</v>
      </c>
      <c r="R16" s="3">
        <v>24910</v>
      </c>
      <c r="S16" s="3">
        <v>25274</v>
      </c>
    </row>
    <row r="17" spans="1:19" x14ac:dyDescent="0.2">
      <c r="A17">
        <v>16</v>
      </c>
      <c r="B17" t="s">
        <v>32</v>
      </c>
      <c r="C17" s="2">
        <v>226000</v>
      </c>
      <c r="D17" t="s">
        <v>52</v>
      </c>
      <c r="E17">
        <v>18.2</v>
      </c>
      <c r="F17">
        <v>3.18</v>
      </c>
      <c r="G17">
        <v>0.95</v>
      </c>
      <c r="H17" s="1">
        <v>2.5999999999999999E-2</v>
      </c>
      <c r="I17">
        <v>3.62</v>
      </c>
      <c r="J17" s="3">
        <v>25202</v>
      </c>
      <c r="K17">
        <v>51</v>
      </c>
      <c r="L17" s="3">
        <v>25244</v>
      </c>
      <c r="M17">
        <v>50.5</v>
      </c>
      <c r="N17" s="1">
        <v>-9.7999999999999997E-3</v>
      </c>
      <c r="O17">
        <v>1</v>
      </c>
      <c r="Q17">
        <v>1</v>
      </c>
      <c r="R17" s="3">
        <v>24911</v>
      </c>
      <c r="S17" s="3">
        <v>25275</v>
      </c>
    </row>
    <row r="18" spans="1:19" x14ac:dyDescent="0.2">
      <c r="A18">
        <v>17</v>
      </c>
      <c r="B18" t="s">
        <v>30</v>
      </c>
      <c r="C18" s="2">
        <v>167000</v>
      </c>
      <c r="D18" t="s">
        <v>28</v>
      </c>
      <c r="E18">
        <v>25.8</v>
      </c>
      <c r="F18">
        <v>5.15</v>
      </c>
      <c r="G18">
        <v>0.2</v>
      </c>
      <c r="H18" s="1">
        <v>1.9E-2</v>
      </c>
      <c r="I18">
        <v>8.85</v>
      </c>
      <c r="J18" s="3">
        <v>25202</v>
      </c>
      <c r="K18">
        <v>205</v>
      </c>
      <c r="L18" s="3">
        <v>25244</v>
      </c>
      <c r="M18">
        <v>210</v>
      </c>
      <c r="N18" s="1">
        <v>2.4400000000000002E-2</v>
      </c>
      <c r="O18">
        <v>1</v>
      </c>
      <c r="Q18">
        <v>2</v>
      </c>
      <c r="R18" s="3">
        <v>25076</v>
      </c>
      <c r="S18" s="3">
        <v>25274</v>
      </c>
    </row>
    <row r="19" spans="1:19" x14ac:dyDescent="0.2">
      <c r="A19">
        <v>18</v>
      </c>
      <c r="B19" t="s">
        <v>5</v>
      </c>
      <c r="C19" s="2">
        <v>142000</v>
      </c>
      <c r="D19" t="s">
        <v>49</v>
      </c>
      <c r="E19">
        <v>7.45</v>
      </c>
      <c r="F19">
        <v>0.77</v>
      </c>
      <c r="G19">
        <v>1.05</v>
      </c>
      <c r="H19" s="1">
        <v>5.2999999999999999E-2</v>
      </c>
      <c r="I19">
        <v>7.18</v>
      </c>
      <c r="J19" s="3">
        <v>25202</v>
      </c>
      <c r="K19">
        <v>51.5</v>
      </c>
      <c r="L19" s="3">
        <v>25244</v>
      </c>
      <c r="M19">
        <v>50.75</v>
      </c>
      <c r="N19" s="1">
        <v>-1.46E-2</v>
      </c>
      <c r="O19">
        <v>1</v>
      </c>
      <c r="P19">
        <v>1</v>
      </c>
      <c r="Q19">
        <v>2</v>
      </c>
      <c r="R19" s="3">
        <v>25092</v>
      </c>
      <c r="S19" s="3">
        <v>25259</v>
      </c>
    </row>
    <row r="20" spans="1:19" x14ac:dyDescent="0.2">
      <c r="A20">
        <v>19</v>
      </c>
      <c r="B20" t="s">
        <v>43</v>
      </c>
      <c r="C20" s="2">
        <v>126000</v>
      </c>
      <c r="D20" t="s">
        <v>59</v>
      </c>
      <c r="E20">
        <v>14.3</v>
      </c>
      <c r="F20">
        <v>1.1000000000000001</v>
      </c>
      <c r="G20">
        <v>1.35</v>
      </c>
      <c r="H20" s="1">
        <v>2.9000000000000001E-2</v>
      </c>
      <c r="I20">
        <v>1.82</v>
      </c>
      <c r="J20" s="3">
        <v>25202</v>
      </c>
      <c r="K20">
        <v>22.1</v>
      </c>
      <c r="L20" s="3">
        <v>25244</v>
      </c>
      <c r="M20">
        <v>22.5</v>
      </c>
      <c r="N20" s="1">
        <v>1.8100000000000002E-2</v>
      </c>
      <c r="O20">
        <v>1</v>
      </c>
      <c r="P20">
        <v>1</v>
      </c>
      <c r="Q20">
        <v>4</v>
      </c>
      <c r="R20" s="3">
        <v>25170</v>
      </c>
      <c r="S20" s="3">
        <v>25343</v>
      </c>
    </row>
    <row r="21" spans="1:19" x14ac:dyDescent="0.2">
      <c r="A21">
        <v>20</v>
      </c>
      <c r="B21" t="s">
        <v>15</v>
      </c>
      <c r="C21" s="2">
        <v>139000</v>
      </c>
      <c r="D21" t="s">
        <v>10</v>
      </c>
      <c r="E21">
        <v>8.5500000000000007</v>
      </c>
      <c r="F21">
        <v>0.79</v>
      </c>
      <c r="G21" t="s">
        <v>100</v>
      </c>
      <c r="H21" s="1">
        <v>5.8999999999999997E-2</v>
      </c>
      <c r="I21">
        <v>0.21</v>
      </c>
      <c r="J21" s="3">
        <v>25202</v>
      </c>
      <c r="K21">
        <v>1.42</v>
      </c>
      <c r="L21" s="3">
        <v>25244</v>
      </c>
      <c r="M21">
        <v>1.45</v>
      </c>
      <c r="N21" s="1">
        <v>2.1100000000000001E-2</v>
      </c>
      <c r="O21">
        <v>1</v>
      </c>
      <c r="P21">
        <v>1</v>
      </c>
      <c r="Q21">
        <v>2</v>
      </c>
      <c r="R21" s="3">
        <v>25121</v>
      </c>
      <c r="S21" s="3">
        <v>25311</v>
      </c>
    </row>
    <row r="22" spans="1:19" x14ac:dyDescent="0.2">
      <c r="A22">
        <v>21</v>
      </c>
      <c r="B22" t="s">
        <v>50</v>
      </c>
      <c r="C22" s="2">
        <v>133000</v>
      </c>
      <c r="D22" t="s">
        <v>49</v>
      </c>
      <c r="E22">
        <v>18.2</v>
      </c>
      <c r="F22">
        <v>1.85</v>
      </c>
      <c r="G22">
        <v>0.75</v>
      </c>
      <c r="H22" s="1">
        <v>2.8000000000000001E-2</v>
      </c>
      <c r="I22">
        <v>1.05</v>
      </c>
      <c r="J22" s="3">
        <v>25202</v>
      </c>
      <c r="K22">
        <v>18.5</v>
      </c>
      <c r="L22" s="3">
        <v>25244</v>
      </c>
      <c r="M22">
        <v>18.2</v>
      </c>
      <c r="N22" s="1">
        <v>-1.6199999999999999E-2</v>
      </c>
      <c r="O22">
        <v>1</v>
      </c>
      <c r="Q22">
        <v>2</v>
      </c>
      <c r="R22" s="3">
        <v>25092</v>
      </c>
      <c r="S22" s="3">
        <v>25258</v>
      </c>
    </row>
    <row r="23" spans="1:19" x14ac:dyDescent="0.2">
      <c r="A23">
        <v>22</v>
      </c>
      <c r="B23" t="s">
        <v>24</v>
      </c>
      <c r="C23" s="2">
        <v>128000</v>
      </c>
      <c r="D23" t="s">
        <v>21</v>
      </c>
      <c r="E23">
        <v>19.8</v>
      </c>
      <c r="F23">
        <v>4.2</v>
      </c>
      <c r="G23">
        <v>0.8</v>
      </c>
      <c r="H23" s="1">
        <v>3.2000000000000001E-2</v>
      </c>
      <c r="I23">
        <v>0.52</v>
      </c>
      <c r="J23" s="3">
        <v>25202</v>
      </c>
      <c r="K23">
        <v>9.8000000000000007</v>
      </c>
      <c r="L23" s="3">
        <v>25244</v>
      </c>
      <c r="M23">
        <v>9.75</v>
      </c>
      <c r="N23" s="1">
        <v>-5.1000000000000004E-3</v>
      </c>
      <c r="O23">
        <v>1</v>
      </c>
      <c r="P23">
        <v>1</v>
      </c>
      <c r="Q23">
        <v>2</v>
      </c>
      <c r="R23" s="3">
        <v>25092</v>
      </c>
      <c r="S23" s="3">
        <v>25311</v>
      </c>
    </row>
    <row r="24" spans="1:19" x14ac:dyDescent="0.2">
      <c r="A24">
        <v>23</v>
      </c>
      <c r="B24" t="s">
        <v>36</v>
      </c>
      <c r="C24" s="2">
        <v>118000</v>
      </c>
      <c r="D24" t="s">
        <v>57</v>
      </c>
      <c r="E24">
        <v>15.1</v>
      </c>
      <c r="F24">
        <v>0.92</v>
      </c>
      <c r="G24">
        <v>1.65</v>
      </c>
      <c r="H24" s="1">
        <v>3.3000000000000002E-2</v>
      </c>
      <c r="I24">
        <v>1.55</v>
      </c>
      <c r="J24" s="3">
        <v>25202</v>
      </c>
      <c r="K24">
        <v>13.8</v>
      </c>
      <c r="L24" s="3">
        <v>25244</v>
      </c>
      <c r="M24">
        <v>14.2</v>
      </c>
      <c r="N24" s="1">
        <v>2.9000000000000001E-2</v>
      </c>
      <c r="O24">
        <v>1</v>
      </c>
      <c r="Q24">
        <v>2</v>
      </c>
      <c r="R24" s="3">
        <v>25079</v>
      </c>
      <c r="S24" s="3">
        <v>25328</v>
      </c>
    </row>
    <row r="25" spans="1:19" x14ac:dyDescent="0.2">
      <c r="A25">
        <v>24</v>
      </c>
      <c r="B25" t="s">
        <v>6</v>
      </c>
      <c r="C25" s="2">
        <v>112000</v>
      </c>
      <c r="D25" t="s">
        <v>49</v>
      </c>
      <c r="E25">
        <v>6.45</v>
      </c>
      <c r="F25">
        <v>0.74</v>
      </c>
      <c r="G25">
        <v>1.4</v>
      </c>
      <c r="H25" s="1">
        <v>6.2E-2</v>
      </c>
      <c r="I25">
        <v>5.85</v>
      </c>
      <c r="J25" s="3">
        <v>25202</v>
      </c>
      <c r="K25">
        <v>41</v>
      </c>
      <c r="L25" s="3">
        <v>25244</v>
      </c>
      <c r="M25">
        <v>40.5</v>
      </c>
      <c r="N25" s="1">
        <v>-1.2200000000000001E-2</v>
      </c>
      <c r="O25">
        <v>1</v>
      </c>
      <c r="P25">
        <v>1</v>
      </c>
      <c r="Q25">
        <v>2</v>
      </c>
      <c r="R25" s="3">
        <v>25092</v>
      </c>
      <c r="S25" s="3">
        <v>25266</v>
      </c>
    </row>
    <row r="26" spans="1:19" x14ac:dyDescent="0.2">
      <c r="A26">
        <v>25</v>
      </c>
      <c r="B26" t="s">
        <v>4</v>
      </c>
      <c r="C26" s="2">
        <v>108000</v>
      </c>
      <c r="D26" t="s">
        <v>49</v>
      </c>
      <c r="E26">
        <v>25.4</v>
      </c>
      <c r="F26">
        <v>1.45</v>
      </c>
      <c r="G26">
        <v>1.25</v>
      </c>
      <c r="H26" s="1">
        <v>2.5000000000000001E-2</v>
      </c>
      <c r="I26">
        <v>1.85</v>
      </c>
      <c r="J26" s="3">
        <v>25202</v>
      </c>
      <c r="K26">
        <v>38.25</v>
      </c>
      <c r="L26" s="3">
        <v>25244</v>
      </c>
      <c r="M26">
        <v>38.5</v>
      </c>
      <c r="N26" s="1">
        <v>6.4999999999999997E-3</v>
      </c>
      <c r="O26">
        <v>1</v>
      </c>
      <c r="Q26">
        <v>2</v>
      </c>
      <c r="R26" s="3">
        <v>25092</v>
      </c>
      <c r="S26" s="3">
        <v>25258</v>
      </c>
    </row>
    <row r="27" spans="1:19" x14ac:dyDescent="0.2">
      <c r="A27">
        <v>26</v>
      </c>
      <c r="B27" t="s">
        <v>34</v>
      </c>
      <c r="C27" s="2">
        <v>103000</v>
      </c>
      <c r="D27" t="s">
        <v>52</v>
      </c>
      <c r="E27">
        <v>16.8</v>
      </c>
      <c r="F27">
        <v>2.4500000000000002</v>
      </c>
      <c r="G27">
        <v>1.1000000000000001</v>
      </c>
      <c r="H27" s="1">
        <v>3.2000000000000001E-2</v>
      </c>
      <c r="I27">
        <v>0.32</v>
      </c>
      <c r="J27" s="3">
        <v>25202</v>
      </c>
      <c r="K27">
        <v>6.9</v>
      </c>
      <c r="L27" s="3">
        <v>25244</v>
      </c>
      <c r="M27">
        <v>7.05</v>
      </c>
      <c r="N27" s="1">
        <v>2.1700000000000001E-2</v>
      </c>
      <c r="O27">
        <v>1</v>
      </c>
      <c r="P27">
        <v>1</v>
      </c>
      <c r="Q27">
        <v>2</v>
      </c>
      <c r="R27" s="3">
        <v>25163</v>
      </c>
      <c r="S27" s="3">
        <v>25335</v>
      </c>
    </row>
    <row r="28" spans="1:19" x14ac:dyDescent="0.2">
      <c r="A28">
        <v>27</v>
      </c>
      <c r="B28" t="s">
        <v>33</v>
      </c>
      <c r="C28" s="2">
        <v>98000</v>
      </c>
      <c r="D28" t="s">
        <v>52</v>
      </c>
      <c r="E28">
        <v>14.5</v>
      </c>
      <c r="F28">
        <v>1.9</v>
      </c>
      <c r="G28">
        <v>1.1499999999999999</v>
      </c>
      <c r="H28" s="1">
        <v>6.2E-2</v>
      </c>
      <c r="I28">
        <v>0.65</v>
      </c>
      <c r="J28" s="3">
        <v>25202</v>
      </c>
      <c r="K28">
        <v>8.1999999999999993</v>
      </c>
      <c r="L28" s="3">
        <v>25244</v>
      </c>
      <c r="M28">
        <v>8</v>
      </c>
      <c r="N28" s="1">
        <v>-2.4400000000000002E-2</v>
      </c>
      <c r="O28">
        <v>1</v>
      </c>
      <c r="P28">
        <v>1</v>
      </c>
      <c r="Q28">
        <v>2</v>
      </c>
      <c r="R28" s="3">
        <v>25073</v>
      </c>
      <c r="S28" s="3">
        <v>25329</v>
      </c>
    </row>
    <row r="29" spans="1:19" x14ac:dyDescent="0.2">
      <c r="A29">
        <v>28</v>
      </c>
      <c r="B29" t="s">
        <v>46</v>
      </c>
      <c r="C29" s="2">
        <v>90000</v>
      </c>
      <c r="D29" t="s">
        <v>45</v>
      </c>
      <c r="E29">
        <v>18.5</v>
      </c>
      <c r="F29">
        <v>1.45</v>
      </c>
      <c r="G29">
        <v>0.7</v>
      </c>
      <c r="H29" s="1">
        <v>2.8000000000000001E-2</v>
      </c>
      <c r="I29">
        <v>1.45</v>
      </c>
      <c r="J29" s="3">
        <v>25202</v>
      </c>
      <c r="K29">
        <v>28.5</v>
      </c>
      <c r="L29" s="3">
        <v>25244</v>
      </c>
      <c r="M29">
        <v>28.25</v>
      </c>
      <c r="N29" s="1">
        <v>-8.8000000000000005E-3</v>
      </c>
      <c r="O29">
        <v>1</v>
      </c>
      <c r="Q29">
        <v>2</v>
      </c>
      <c r="R29" s="3">
        <v>25072</v>
      </c>
      <c r="S29" s="3">
        <v>25296</v>
      </c>
    </row>
    <row r="30" spans="1:19" x14ac:dyDescent="0.2">
      <c r="A30">
        <v>29</v>
      </c>
      <c r="B30" t="s">
        <v>18</v>
      </c>
      <c r="C30" s="2">
        <v>82000</v>
      </c>
      <c r="D30" t="s">
        <v>58</v>
      </c>
      <c r="E30">
        <v>15.4</v>
      </c>
      <c r="F30">
        <v>3.2</v>
      </c>
      <c r="G30">
        <v>2.1</v>
      </c>
      <c r="H30" s="1">
        <v>2.4E-2</v>
      </c>
      <c r="I30">
        <v>2.85</v>
      </c>
      <c r="J30" s="3">
        <v>25202</v>
      </c>
      <c r="K30">
        <v>31.75</v>
      </c>
      <c r="L30" s="3">
        <v>25244</v>
      </c>
      <c r="M30">
        <v>32.25</v>
      </c>
      <c r="N30" s="1">
        <v>1.5699999999999999E-2</v>
      </c>
      <c r="O30">
        <v>1</v>
      </c>
      <c r="Q30">
        <v>1</v>
      </c>
      <c r="R30" s="3">
        <v>24945</v>
      </c>
      <c r="S30" s="3">
        <v>25311</v>
      </c>
    </row>
    <row r="31" spans="1:19" x14ac:dyDescent="0.2">
      <c r="A31">
        <v>30</v>
      </c>
      <c r="B31" t="s">
        <v>19</v>
      </c>
      <c r="C31" s="2">
        <v>80000</v>
      </c>
      <c r="D31" t="s">
        <v>58</v>
      </c>
      <c r="E31">
        <v>16.8</v>
      </c>
      <c r="F31">
        <v>3.1</v>
      </c>
      <c r="G31">
        <v>3.4</v>
      </c>
      <c r="H31" s="1">
        <v>1.2999999999999999E-2</v>
      </c>
      <c r="I31">
        <v>2.65</v>
      </c>
      <c r="J31" s="3">
        <v>25202</v>
      </c>
      <c r="K31">
        <v>37.5</v>
      </c>
      <c r="L31" s="3">
        <v>25244</v>
      </c>
      <c r="M31">
        <v>38.25</v>
      </c>
      <c r="N31" s="1">
        <v>0.02</v>
      </c>
      <c r="O31">
        <v>1</v>
      </c>
      <c r="Q31">
        <v>1</v>
      </c>
      <c r="R31" s="3">
        <v>24957</v>
      </c>
      <c r="S31" s="3">
        <v>25321</v>
      </c>
    </row>
    <row r="32" spans="1:19" x14ac:dyDescent="0.2">
      <c r="A32">
        <v>31</v>
      </c>
      <c r="B32" t="s">
        <v>17</v>
      </c>
      <c r="C32" s="2">
        <v>71800</v>
      </c>
      <c r="D32" t="s">
        <v>10</v>
      </c>
      <c r="E32">
        <v>10.55</v>
      </c>
      <c r="F32">
        <v>1.96</v>
      </c>
      <c r="G32" t="s">
        <v>100</v>
      </c>
      <c r="H32" s="1">
        <v>7.9000000000000001E-2</v>
      </c>
      <c r="I32">
        <v>9.25</v>
      </c>
      <c r="J32" s="3">
        <v>25202</v>
      </c>
      <c r="K32">
        <v>89.5</v>
      </c>
      <c r="L32" s="3">
        <v>25244</v>
      </c>
      <c r="M32">
        <v>90</v>
      </c>
      <c r="N32" s="1">
        <v>5.5999999999999999E-3</v>
      </c>
      <c r="O32">
        <v>1</v>
      </c>
      <c r="P32">
        <v>1</v>
      </c>
      <c r="Q32">
        <v>1</v>
      </c>
      <c r="R32" s="3">
        <v>24952</v>
      </c>
      <c r="S32" s="3">
        <v>25318</v>
      </c>
    </row>
    <row r="33" spans="1:19" x14ac:dyDescent="0.2">
      <c r="A33">
        <v>32</v>
      </c>
      <c r="B33" t="s">
        <v>39</v>
      </c>
      <c r="C33" s="2">
        <v>70000</v>
      </c>
      <c r="D33" t="s">
        <v>57</v>
      </c>
      <c r="E33">
        <v>21.8</v>
      </c>
      <c r="F33">
        <v>3.75</v>
      </c>
      <c r="G33">
        <v>0.15</v>
      </c>
      <c r="H33" s="1">
        <v>3.5999999999999997E-2</v>
      </c>
      <c r="I33">
        <v>1.05</v>
      </c>
      <c r="J33" s="3">
        <v>25202</v>
      </c>
      <c r="K33">
        <v>23.5</v>
      </c>
      <c r="L33" s="3">
        <v>25244</v>
      </c>
      <c r="M33">
        <v>24.1</v>
      </c>
      <c r="N33" s="1">
        <v>2.5499999999999998E-2</v>
      </c>
      <c r="O33">
        <v>1</v>
      </c>
      <c r="Q33">
        <v>2</v>
      </c>
      <c r="R33" s="3">
        <v>25092</v>
      </c>
      <c r="S33" s="3">
        <v>25267</v>
      </c>
    </row>
    <row r="34" spans="1:19" x14ac:dyDescent="0.2">
      <c r="A34">
        <v>33</v>
      </c>
      <c r="B34" t="s">
        <v>35</v>
      </c>
      <c r="C34" s="2">
        <v>68000</v>
      </c>
      <c r="D34" t="s">
        <v>52</v>
      </c>
      <c r="E34">
        <v>35.200000000000003</v>
      </c>
      <c r="F34">
        <v>1.8</v>
      </c>
      <c r="G34">
        <v>0.85</v>
      </c>
      <c r="H34" s="1">
        <v>5.0000000000000001E-3</v>
      </c>
      <c r="I34">
        <v>0.12</v>
      </c>
      <c r="J34" s="3">
        <v>25202</v>
      </c>
      <c r="K34">
        <v>2.15</v>
      </c>
      <c r="L34" s="3">
        <v>25244</v>
      </c>
      <c r="M34">
        <v>2.1</v>
      </c>
      <c r="N34" s="1">
        <v>-2.3300000000000001E-2</v>
      </c>
      <c r="O34">
        <v>1</v>
      </c>
      <c r="Q34">
        <v>1</v>
      </c>
      <c r="R34" s="3">
        <v>24980</v>
      </c>
      <c r="S34" s="3">
        <v>25344</v>
      </c>
    </row>
    <row r="35" spans="1:19" x14ac:dyDescent="0.2">
      <c r="A35">
        <v>34</v>
      </c>
      <c r="B35" t="s">
        <v>20</v>
      </c>
      <c r="C35" s="2">
        <v>65000</v>
      </c>
      <c r="D35" t="s">
        <v>58</v>
      </c>
      <c r="E35">
        <v>11.5</v>
      </c>
      <c r="F35">
        <v>1.8</v>
      </c>
      <c r="G35">
        <v>2.5</v>
      </c>
      <c r="H35" s="1">
        <v>4.2000000000000003E-2</v>
      </c>
      <c r="I35">
        <v>3.5</v>
      </c>
      <c r="J35" s="3">
        <v>25202</v>
      </c>
      <c r="K35">
        <v>31.5</v>
      </c>
      <c r="L35" s="3">
        <v>25244</v>
      </c>
      <c r="M35">
        <v>32</v>
      </c>
      <c r="N35" s="1">
        <v>1.5900000000000001E-2</v>
      </c>
      <c r="O35">
        <v>1</v>
      </c>
      <c r="P35">
        <v>1</v>
      </c>
      <c r="Q35">
        <v>1</v>
      </c>
      <c r="R35" s="3">
        <v>24960</v>
      </c>
      <c r="S35" s="3">
        <v>25326</v>
      </c>
    </row>
    <row r="36" spans="1:19" x14ac:dyDescent="0.2">
      <c r="A36">
        <v>35</v>
      </c>
      <c r="B36" t="s">
        <v>42</v>
      </c>
      <c r="C36" s="2">
        <v>62000</v>
      </c>
      <c r="D36" t="s">
        <v>117</v>
      </c>
      <c r="E36">
        <v>22.1</v>
      </c>
      <c r="F36">
        <v>3.4</v>
      </c>
      <c r="G36">
        <v>0.45</v>
      </c>
      <c r="H36" s="1">
        <v>2.1000000000000001E-2</v>
      </c>
      <c r="I36">
        <v>1.65</v>
      </c>
      <c r="J36" s="3">
        <v>25202</v>
      </c>
      <c r="K36">
        <v>31.5</v>
      </c>
      <c r="L36" s="3">
        <v>25244</v>
      </c>
      <c r="M36">
        <v>32.25</v>
      </c>
      <c r="N36" s="1">
        <v>2.3800000000000002E-2</v>
      </c>
      <c r="O36">
        <v>1</v>
      </c>
      <c r="Q36">
        <v>2</v>
      </c>
      <c r="R36" s="3">
        <v>25071</v>
      </c>
      <c r="S36" s="3">
        <v>25282</v>
      </c>
    </row>
    <row r="37" spans="1:19" x14ac:dyDescent="0.2">
      <c r="A37">
        <v>36</v>
      </c>
      <c r="B37" t="s">
        <v>41</v>
      </c>
      <c r="C37" s="2">
        <v>60000</v>
      </c>
      <c r="D37" t="s">
        <v>117</v>
      </c>
      <c r="E37">
        <v>14.8</v>
      </c>
      <c r="F37">
        <v>1.35</v>
      </c>
      <c r="G37">
        <v>0.35</v>
      </c>
      <c r="H37" s="1">
        <v>3.2000000000000001E-2</v>
      </c>
      <c r="I37">
        <v>2.6</v>
      </c>
      <c r="J37" s="3">
        <v>25202</v>
      </c>
      <c r="K37">
        <v>32</v>
      </c>
      <c r="L37" s="3">
        <v>25244</v>
      </c>
      <c r="M37">
        <v>33.5</v>
      </c>
      <c r="N37" s="1">
        <v>4.6899999999999997E-2</v>
      </c>
      <c r="O37">
        <v>1</v>
      </c>
      <c r="P37">
        <v>1</v>
      </c>
      <c r="Q37">
        <v>2</v>
      </c>
      <c r="R37" s="3">
        <v>25092</v>
      </c>
      <c r="S37" s="3">
        <v>25276</v>
      </c>
    </row>
    <row r="38" spans="1:19" x14ac:dyDescent="0.2">
      <c r="A38">
        <v>37</v>
      </c>
      <c r="B38" t="s">
        <v>66</v>
      </c>
      <c r="C38" s="2">
        <v>58000</v>
      </c>
      <c r="D38" t="s">
        <v>49</v>
      </c>
      <c r="E38">
        <v>28.5</v>
      </c>
      <c r="F38">
        <v>1.95</v>
      </c>
      <c r="G38">
        <v>1.85</v>
      </c>
      <c r="H38" s="1">
        <v>1.7999999999999999E-2</v>
      </c>
      <c r="I38">
        <v>0.85</v>
      </c>
      <c r="J38" s="3">
        <v>25202</v>
      </c>
      <c r="K38">
        <v>18.5</v>
      </c>
      <c r="L38" s="3">
        <v>25244</v>
      </c>
      <c r="M38">
        <v>18.2</v>
      </c>
      <c r="N38" s="1">
        <v>-1.6199999999999999E-2</v>
      </c>
      <c r="O38">
        <v>1</v>
      </c>
      <c r="Q38">
        <v>2</v>
      </c>
      <c r="R38" s="3">
        <v>25085</v>
      </c>
      <c r="S38" s="3">
        <v>25274</v>
      </c>
    </row>
    <row r="39" spans="1:19" x14ac:dyDescent="0.2">
      <c r="A39">
        <v>38</v>
      </c>
      <c r="B39" t="s">
        <v>8</v>
      </c>
      <c r="C39" s="2">
        <v>54000</v>
      </c>
      <c r="D39" t="s">
        <v>49</v>
      </c>
      <c r="E39">
        <v>11.5</v>
      </c>
      <c r="F39">
        <v>0.55000000000000004</v>
      </c>
      <c r="G39">
        <v>1.2</v>
      </c>
      <c r="H39" s="1">
        <v>5.8000000000000003E-2</v>
      </c>
      <c r="I39">
        <v>12.4</v>
      </c>
      <c r="J39" s="3">
        <v>25202</v>
      </c>
      <c r="K39">
        <v>102</v>
      </c>
      <c r="L39" s="3">
        <v>25244</v>
      </c>
      <c r="M39">
        <v>101.5</v>
      </c>
      <c r="N39" s="1">
        <v>-4.8999999999999998E-3</v>
      </c>
      <c r="O39">
        <v>1</v>
      </c>
      <c r="P39">
        <v>1</v>
      </c>
      <c r="Q39">
        <v>2</v>
      </c>
      <c r="R39" s="3">
        <v>25092</v>
      </c>
      <c r="S39" s="3">
        <v>25276</v>
      </c>
    </row>
    <row r="40" spans="1:19" x14ac:dyDescent="0.2">
      <c r="A40">
        <v>39</v>
      </c>
      <c r="B40" t="s">
        <v>9</v>
      </c>
      <c r="C40" s="2">
        <v>51500</v>
      </c>
      <c r="D40" t="s">
        <v>49</v>
      </c>
      <c r="E40">
        <v>10.8</v>
      </c>
      <c r="F40">
        <v>0.68</v>
      </c>
      <c r="G40">
        <v>1.05</v>
      </c>
      <c r="H40" s="1">
        <v>5.5E-2</v>
      </c>
      <c r="I40">
        <v>3.1</v>
      </c>
      <c r="J40" s="3">
        <v>25202</v>
      </c>
      <c r="K40">
        <v>23.9</v>
      </c>
      <c r="L40" s="3">
        <v>25244</v>
      </c>
      <c r="M40">
        <v>24.1</v>
      </c>
      <c r="N40" s="1">
        <v>8.3999999999999995E-3</v>
      </c>
      <c r="O40">
        <v>1</v>
      </c>
      <c r="P40">
        <v>1</v>
      </c>
      <c r="Q40">
        <v>2</v>
      </c>
      <c r="R40" s="3">
        <v>25092</v>
      </c>
      <c r="S40" s="3">
        <v>25281</v>
      </c>
    </row>
    <row r="41" spans="1:19" x14ac:dyDescent="0.2">
      <c r="A41">
        <v>40</v>
      </c>
      <c r="B41" t="s">
        <v>37</v>
      </c>
      <c r="C41" s="2">
        <v>50000</v>
      </c>
      <c r="D41" t="s">
        <v>57</v>
      </c>
      <c r="E41">
        <v>28.4</v>
      </c>
      <c r="F41">
        <v>7.2</v>
      </c>
      <c r="G41">
        <v>0.7</v>
      </c>
      <c r="H41" s="1">
        <v>2.1000000000000001E-2</v>
      </c>
      <c r="I41">
        <v>2.4500000000000002</v>
      </c>
      <c r="J41" s="3">
        <v>25202</v>
      </c>
      <c r="K41">
        <v>58</v>
      </c>
      <c r="L41" s="3">
        <v>25244</v>
      </c>
      <c r="M41">
        <v>59.25</v>
      </c>
      <c r="N41" s="1">
        <v>2.1600000000000001E-2</v>
      </c>
      <c r="O41">
        <v>1</v>
      </c>
      <c r="Q41">
        <v>2</v>
      </c>
      <c r="R41" s="3">
        <v>25079</v>
      </c>
      <c r="S41" s="3">
        <v>25267</v>
      </c>
    </row>
    <row r="42" spans="1:19" x14ac:dyDescent="0.2">
      <c r="A42">
        <v>41</v>
      </c>
      <c r="B42" t="s">
        <v>38</v>
      </c>
      <c r="C42" s="2">
        <v>48000</v>
      </c>
      <c r="D42" t="s">
        <v>57</v>
      </c>
      <c r="E42">
        <v>24.5</v>
      </c>
      <c r="F42">
        <v>3.8</v>
      </c>
      <c r="G42">
        <v>0.65</v>
      </c>
      <c r="H42" s="1">
        <v>3.5000000000000003E-2</v>
      </c>
      <c r="I42">
        <v>0.95</v>
      </c>
      <c r="J42" s="3">
        <v>25202</v>
      </c>
      <c r="K42">
        <v>18.5</v>
      </c>
      <c r="L42" s="3">
        <v>25244</v>
      </c>
      <c r="M42">
        <v>18.8</v>
      </c>
      <c r="N42" s="1">
        <v>1.6199999999999999E-2</v>
      </c>
      <c r="O42">
        <v>1</v>
      </c>
      <c r="P42">
        <v>1</v>
      </c>
      <c r="Q42">
        <v>2</v>
      </c>
      <c r="R42" s="3">
        <v>25078</v>
      </c>
      <c r="S42" s="3">
        <v>25326</v>
      </c>
    </row>
    <row r="43" spans="1:19" x14ac:dyDescent="0.2">
      <c r="A43">
        <v>42</v>
      </c>
      <c r="B43" t="s">
        <v>26</v>
      </c>
      <c r="C43" s="2">
        <v>45000</v>
      </c>
      <c r="D43" t="s">
        <v>21</v>
      </c>
      <c r="E43">
        <v>15.2</v>
      </c>
      <c r="F43">
        <v>4.8</v>
      </c>
      <c r="G43">
        <v>0.55000000000000004</v>
      </c>
      <c r="H43" s="1">
        <v>3.7999999999999999E-2</v>
      </c>
      <c r="I43">
        <v>1.45</v>
      </c>
      <c r="J43" s="3">
        <v>25202</v>
      </c>
      <c r="K43">
        <v>17.5</v>
      </c>
      <c r="L43" s="3">
        <v>25244</v>
      </c>
      <c r="M43">
        <v>18.2</v>
      </c>
      <c r="N43" s="1">
        <v>0.04</v>
      </c>
      <c r="O43">
        <v>1</v>
      </c>
      <c r="Q43">
        <v>1</v>
      </c>
      <c r="R43" s="3">
        <v>24903</v>
      </c>
      <c r="S43" s="3">
        <v>25267</v>
      </c>
    </row>
    <row r="44" spans="1:19" x14ac:dyDescent="0.2">
      <c r="A44">
        <v>43</v>
      </c>
      <c r="B44" t="s">
        <v>55</v>
      </c>
      <c r="C44" s="2">
        <v>42500</v>
      </c>
      <c r="D44" t="s">
        <v>52</v>
      </c>
      <c r="E44">
        <v>7.9</v>
      </c>
      <c r="F44">
        <v>0.96</v>
      </c>
      <c r="G44">
        <v>1.6</v>
      </c>
      <c r="H44" s="1">
        <v>8.5999999999999993E-2</v>
      </c>
      <c r="I44">
        <v>0.22</v>
      </c>
      <c r="J44" s="3">
        <v>25202</v>
      </c>
      <c r="K44">
        <v>2.38</v>
      </c>
      <c r="L44" s="3">
        <v>25244</v>
      </c>
      <c r="M44">
        <v>2.44</v>
      </c>
      <c r="N44" s="1">
        <v>2.52E-2</v>
      </c>
      <c r="O44">
        <v>1</v>
      </c>
      <c r="P44">
        <v>1</v>
      </c>
      <c r="Q44">
        <v>2</v>
      </c>
      <c r="R44" s="3">
        <v>25077</v>
      </c>
      <c r="S44" s="3">
        <v>25337</v>
      </c>
    </row>
    <row r="45" spans="1:19" x14ac:dyDescent="0.2">
      <c r="A45">
        <v>44</v>
      </c>
      <c r="B45" t="s">
        <v>68</v>
      </c>
      <c r="C45" s="2">
        <v>40000</v>
      </c>
      <c r="D45" t="s">
        <v>21</v>
      </c>
      <c r="E45">
        <v>22.5</v>
      </c>
      <c r="F45">
        <v>2.2999999999999998</v>
      </c>
      <c r="G45">
        <v>0.85</v>
      </c>
      <c r="H45" s="1">
        <v>1.0999999999999999E-2</v>
      </c>
      <c r="I45">
        <v>0.45</v>
      </c>
      <c r="J45" s="3">
        <v>25202</v>
      </c>
      <c r="K45">
        <v>12.1</v>
      </c>
      <c r="L45" s="3">
        <v>25244</v>
      </c>
      <c r="M45">
        <v>12.4</v>
      </c>
      <c r="N45" s="1">
        <v>2.4799999999999999E-2</v>
      </c>
      <c r="O45">
        <v>1</v>
      </c>
      <c r="Q45">
        <v>1</v>
      </c>
      <c r="R45" s="3">
        <v>24965</v>
      </c>
      <c r="S45" s="3">
        <v>25331</v>
      </c>
    </row>
    <row r="46" spans="1:19" x14ac:dyDescent="0.2">
      <c r="A46">
        <v>45</v>
      </c>
      <c r="B46" t="s">
        <v>53</v>
      </c>
      <c r="C46" s="2">
        <v>38200</v>
      </c>
      <c r="D46" t="s">
        <v>52</v>
      </c>
      <c r="E46">
        <v>6.25</v>
      </c>
      <c r="F46">
        <v>0.86</v>
      </c>
      <c r="G46">
        <v>0.8</v>
      </c>
      <c r="H46" s="1">
        <v>6.6000000000000003E-2</v>
      </c>
      <c r="I46">
        <v>2.08</v>
      </c>
      <c r="J46" s="3">
        <v>25202</v>
      </c>
      <c r="K46">
        <v>11.9</v>
      </c>
      <c r="L46" s="3">
        <v>25244</v>
      </c>
      <c r="M46">
        <v>12.1</v>
      </c>
      <c r="N46" s="1">
        <v>1.6799999999999999E-2</v>
      </c>
      <c r="P46">
        <v>1</v>
      </c>
      <c r="Q46">
        <v>1</v>
      </c>
      <c r="R46" s="3">
        <v>24966</v>
      </c>
      <c r="S46" s="3">
        <v>25332</v>
      </c>
    </row>
    <row r="47" spans="1:19" x14ac:dyDescent="0.2">
      <c r="A47">
        <v>46</v>
      </c>
      <c r="B47" t="s">
        <v>67</v>
      </c>
      <c r="C47" s="2">
        <v>37000</v>
      </c>
      <c r="D47" t="s">
        <v>21</v>
      </c>
      <c r="E47">
        <v>14.2</v>
      </c>
      <c r="F47">
        <v>2.8</v>
      </c>
      <c r="G47">
        <v>0.35</v>
      </c>
      <c r="H47" s="1">
        <v>3.5000000000000003E-2</v>
      </c>
      <c r="I47">
        <v>2.4500000000000002</v>
      </c>
      <c r="J47" s="3">
        <v>25202</v>
      </c>
      <c r="K47">
        <v>31.5</v>
      </c>
      <c r="L47" s="3">
        <v>25244</v>
      </c>
      <c r="M47">
        <v>32.5</v>
      </c>
      <c r="N47" s="1">
        <v>3.1699999999999999E-2</v>
      </c>
      <c r="Q47">
        <v>2</v>
      </c>
      <c r="R47" s="3">
        <v>25077</v>
      </c>
      <c r="S47" s="3">
        <v>25267</v>
      </c>
    </row>
    <row r="48" spans="1:19" x14ac:dyDescent="0.2">
      <c r="A48">
        <v>47</v>
      </c>
      <c r="B48" t="s">
        <v>16</v>
      </c>
      <c r="C48" s="2">
        <v>35500</v>
      </c>
      <c r="D48" t="s">
        <v>10</v>
      </c>
      <c r="E48">
        <v>7.2</v>
      </c>
      <c r="F48">
        <v>0.75</v>
      </c>
      <c r="G48" t="s">
        <v>100</v>
      </c>
      <c r="H48" s="1">
        <v>6.5000000000000002E-2</v>
      </c>
      <c r="I48">
        <v>7.05</v>
      </c>
      <c r="J48" s="3">
        <v>25202</v>
      </c>
      <c r="K48">
        <v>42</v>
      </c>
      <c r="L48" s="3">
        <v>25244</v>
      </c>
      <c r="M48">
        <v>43.25</v>
      </c>
      <c r="N48" s="1">
        <v>2.98E-2</v>
      </c>
      <c r="P48">
        <v>1</v>
      </c>
      <c r="Q48">
        <v>2</v>
      </c>
      <c r="R48" s="3">
        <v>25092</v>
      </c>
      <c r="S48" s="3">
        <v>25316</v>
      </c>
    </row>
    <row r="49" spans="1:19" x14ac:dyDescent="0.2">
      <c r="A49">
        <v>48</v>
      </c>
      <c r="B49" t="s">
        <v>64</v>
      </c>
      <c r="C49" s="2">
        <v>35000</v>
      </c>
      <c r="D49" t="s">
        <v>52</v>
      </c>
      <c r="E49">
        <v>12.5</v>
      </c>
      <c r="F49">
        <v>1.65</v>
      </c>
      <c r="G49">
        <v>0.75</v>
      </c>
      <c r="H49" s="1">
        <v>2.8000000000000001E-2</v>
      </c>
      <c r="I49">
        <v>1.85</v>
      </c>
      <c r="J49" s="3">
        <v>25202</v>
      </c>
      <c r="K49">
        <v>21.5</v>
      </c>
      <c r="L49" s="3">
        <v>25244</v>
      </c>
      <c r="M49">
        <v>21.8</v>
      </c>
      <c r="N49" s="1">
        <v>1.4E-2</v>
      </c>
      <c r="O49">
        <v>1</v>
      </c>
      <c r="Q49">
        <v>2</v>
      </c>
      <c r="R49" s="3">
        <v>25077</v>
      </c>
      <c r="S49" s="3">
        <v>25333</v>
      </c>
    </row>
    <row r="50" spans="1:19" x14ac:dyDescent="0.2">
      <c r="A50">
        <v>49</v>
      </c>
      <c r="B50" t="s">
        <v>25</v>
      </c>
      <c r="C50" s="2">
        <v>34500</v>
      </c>
      <c r="D50" t="s">
        <v>21</v>
      </c>
      <c r="E50">
        <v>16.399999999999999</v>
      </c>
      <c r="F50">
        <v>0.85</v>
      </c>
      <c r="G50">
        <v>1.3</v>
      </c>
      <c r="H50" s="1">
        <v>3.2000000000000001E-2</v>
      </c>
      <c r="I50">
        <v>1.25</v>
      </c>
      <c r="J50" s="3">
        <v>25202</v>
      </c>
      <c r="K50">
        <v>22</v>
      </c>
      <c r="L50" s="3">
        <v>25244</v>
      </c>
      <c r="M50">
        <v>21.75</v>
      </c>
      <c r="N50" s="1">
        <v>-1.14E-2</v>
      </c>
      <c r="Q50">
        <v>2</v>
      </c>
      <c r="R50" s="3">
        <v>25079</v>
      </c>
      <c r="S50" s="3">
        <v>25286</v>
      </c>
    </row>
    <row r="51" spans="1:19" x14ac:dyDescent="0.2">
      <c r="A51">
        <v>50</v>
      </c>
      <c r="B51" t="s">
        <v>54</v>
      </c>
      <c r="C51" s="2">
        <v>33000</v>
      </c>
      <c r="D51" t="s">
        <v>52</v>
      </c>
      <c r="E51">
        <v>6.05</v>
      </c>
      <c r="F51">
        <v>0.78</v>
      </c>
      <c r="G51">
        <v>0.65</v>
      </c>
      <c r="H51" s="1">
        <v>6.8000000000000005E-2</v>
      </c>
      <c r="I51">
        <v>3.35</v>
      </c>
      <c r="J51" s="3">
        <v>25202</v>
      </c>
      <c r="K51">
        <v>17</v>
      </c>
      <c r="L51" s="3">
        <v>25244</v>
      </c>
      <c r="M51">
        <v>17.399999999999999</v>
      </c>
      <c r="N51" s="1">
        <v>2.35E-2</v>
      </c>
      <c r="P51">
        <v>1</v>
      </c>
      <c r="Q51">
        <v>2</v>
      </c>
      <c r="R51" s="3">
        <v>25071</v>
      </c>
      <c r="S51" s="3">
        <v>25330</v>
      </c>
    </row>
    <row r="52" spans="1:19" x14ac:dyDescent="0.2">
      <c r="A52">
        <v>51</v>
      </c>
      <c r="B52" t="s">
        <v>85</v>
      </c>
      <c r="C52" s="2">
        <v>31000</v>
      </c>
      <c r="D52" t="s">
        <v>58</v>
      </c>
      <c r="E52">
        <v>14.5</v>
      </c>
      <c r="F52">
        <v>1.95</v>
      </c>
      <c r="G52">
        <v>1.2</v>
      </c>
      <c r="H52" s="1">
        <v>2.5000000000000001E-2</v>
      </c>
      <c r="I52">
        <v>1.35</v>
      </c>
      <c r="J52" s="3">
        <v>25202</v>
      </c>
      <c r="K52">
        <v>13.5</v>
      </c>
      <c r="L52" s="3">
        <v>25244</v>
      </c>
      <c r="M52">
        <v>14.2</v>
      </c>
      <c r="N52" s="1">
        <v>5.1900000000000002E-2</v>
      </c>
      <c r="Q52">
        <v>2</v>
      </c>
      <c r="R52" s="3">
        <v>25071</v>
      </c>
      <c r="S52" s="3">
        <v>25303</v>
      </c>
    </row>
    <row r="53" spans="1:19" x14ac:dyDescent="0.2">
      <c r="A53">
        <v>52</v>
      </c>
      <c r="B53" t="s">
        <v>63</v>
      </c>
      <c r="C53" s="2">
        <v>29800</v>
      </c>
      <c r="D53" t="s">
        <v>57</v>
      </c>
      <c r="E53">
        <v>16.5</v>
      </c>
      <c r="F53">
        <v>3.2</v>
      </c>
      <c r="G53">
        <v>0.25</v>
      </c>
      <c r="H53" s="1">
        <v>5.0999999999999997E-2</v>
      </c>
      <c r="I53">
        <v>1.02</v>
      </c>
      <c r="J53" s="3">
        <v>25202</v>
      </c>
      <c r="K53">
        <v>16.8</v>
      </c>
      <c r="L53" s="3">
        <v>25244</v>
      </c>
      <c r="M53">
        <v>17.2</v>
      </c>
      <c r="N53" s="1">
        <v>2.3800000000000002E-2</v>
      </c>
      <c r="P53">
        <v>1</v>
      </c>
      <c r="Q53">
        <v>2</v>
      </c>
      <c r="R53" s="3">
        <v>25092</v>
      </c>
      <c r="S53" s="3">
        <v>25331</v>
      </c>
    </row>
    <row r="54" spans="1:19" x14ac:dyDescent="0.2">
      <c r="A54">
        <v>53</v>
      </c>
      <c r="B54" t="s">
        <v>7</v>
      </c>
      <c r="C54" s="2">
        <v>29500</v>
      </c>
      <c r="D54" t="s">
        <v>49</v>
      </c>
      <c r="E54">
        <v>6.8</v>
      </c>
      <c r="F54">
        <v>0.55000000000000004</v>
      </c>
      <c r="G54">
        <v>1.1499999999999999</v>
      </c>
      <c r="H54" s="1">
        <v>6.5000000000000002E-2</v>
      </c>
      <c r="I54">
        <v>0.85</v>
      </c>
      <c r="J54" s="3">
        <v>25202</v>
      </c>
      <c r="K54">
        <v>4.8499999999999996</v>
      </c>
      <c r="L54" s="3">
        <v>25244</v>
      </c>
      <c r="M54">
        <v>4.75</v>
      </c>
      <c r="N54" s="1">
        <v>-2.06E-2</v>
      </c>
      <c r="O54">
        <v>1</v>
      </c>
      <c r="Q54">
        <v>2</v>
      </c>
      <c r="R54" s="3">
        <v>25092</v>
      </c>
      <c r="S54" s="3">
        <v>25272</v>
      </c>
    </row>
    <row r="55" spans="1:19" x14ac:dyDescent="0.2">
      <c r="A55">
        <v>54</v>
      </c>
      <c r="B55" t="s">
        <v>87</v>
      </c>
      <c r="C55" s="2">
        <v>28000</v>
      </c>
      <c r="D55" t="s">
        <v>58</v>
      </c>
      <c r="E55">
        <v>15.6</v>
      </c>
      <c r="F55">
        <v>0.65</v>
      </c>
      <c r="G55">
        <v>1.85</v>
      </c>
      <c r="H55" s="1">
        <v>4.8000000000000001E-2</v>
      </c>
      <c r="I55">
        <v>0.55000000000000004</v>
      </c>
      <c r="J55" s="3">
        <v>25202</v>
      </c>
      <c r="K55">
        <v>7.15</v>
      </c>
      <c r="L55" s="3">
        <v>25244</v>
      </c>
      <c r="M55">
        <v>7.3</v>
      </c>
      <c r="N55" s="1">
        <v>2.0899999999999998E-2</v>
      </c>
      <c r="Q55">
        <v>1</v>
      </c>
      <c r="R55" s="3">
        <v>24960</v>
      </c>
      <c r="S55" s="3">
        <v>25326</v>
      </c>
    </row>
    <row r="56" spans="1:19" x14ac:dyDescent="0.2">
      <c r="A56">
        <v>55</v>
      </c>
      <c r="B56" t="s">
        <v>77</v>
      </c>
      <c r="C56" s="2">
        <v>27000</v>
      </c>
      <c r="D56" t="s">
        <v>57</v>
      </c>
      <c r="E56">
        <v>18.2</v>
      </c>
      <c r="F56">
        <v>4.0999999999999996</v>
      </c>
      <c r="G56">
        <v>0.3</v>
      </c>
      <c r="H56" s="1">
        <v>2.8000000000000001E-2</v>
      </c>
      <c r="I56">
        <v>3.15</v>
      </c>
      <c r="J56" s="3">
        <v>25202</v>
      </c>
      <c r="K56">
        <v>65</v>
      </c>
      <c r="L56" s="3">
        <v>25244</v>
      </c>
      <c r="M56">
        <v>67.5</v>
      </c>
      <c r="N56" s="1">
        <v>3.85E-2</v>
      </c>
      <c r="Q56">
        <v>1</v>
      </c>
      <c r="R56" s="3">
        <v>24972</v>
      </c>
      <c r="S56" s="3">
        <v>25338</v>
      </c>
    </row>
    <row r="57" spans="1:19" x14ac:dyDescent="0.2">
      <c r="A57">
        <v>56</v>
      </c>
      <c r="B57" t="s">
        <v>74</v>
      </c>
      <c r="C57" s="2">
        <v>25200</v>
      </c>
      <c r="D57" t="s">
        <v>28</v>
      </c>
      <c r="E57">
        <v>22.4</v>
      </c>
      <c r="F57">
        <v>3.5</v>
      </c>
      <c r="G57">
        <v>0.45</v>
      </c>
      <c r="H57" s="1">
        <v>3.1E-2</v>
      </c>
      <c r="I57">
        <v>0.12</v>
      </c>
      <c r="J57" s="3">
        <v>25202</v>
      </c>
      <c r="K57">
        <v>2.6</v>
      </c>
      <c r="L57" s="3">
        <v>25244</v>
      </c>
      <c r="M57">
        <v>2.68</v>
      </c>
      <c r="N57" s="1">
        <v>3.0800000000000001E-2</v>
      </c>
      <c r="Q57">
        <v>2</v>
      </c>
      <c r="R57" s="3">
        <v>24964</v>
      </c>
      <c r="S57" s="3">
        <v>25328</v>
      </c>
    </row>
    <row r="58" spans="1:19" x14ac:dyDescent="0.2">
      <c r="A58">
        <v>57</v>
      </c>
      <c r="B58" t="s">
        <v>75</v>
      </c>
      <c r="C58" s="2">
        <v>24800</v>
      </c>
      <c r="D58" t="s">
        <v>28</v>
      </c>
      <c r="E58">
        <v>21.5</v>
      </c>
      <c r="F58">
        <v>3.2</v>
      </c>
      <c r="G58">
        <v>0.6</v>
      </c>
      <c r="H58" s="1">
        <v>2.8000000000000001E-2</v>
      </c>
      <c r="I58">
        <v>0.95</v>
      </c>
      <c r="J58" s="3">
        <v>25202</v>
      </c>
      <c r="K58">
        <v>18.2</v>
      </c>
      <c r="L58" s="3">
        <v>25244</v>
      </c>
      <c r="M58">
        <v>18.5</v>
      </c>
      <c r="N58" s="1">
        <v>1.6500000000000001E-2</v>
      </c>
      <c r="Q58">
        <v>2</v>
      </c>
      <c r="R58" s="3">
        <v>25080</v>
      </c>
      <c r="S58" s="3">
        <v>25331</v>
      </c>
    </row>
    <row r="59" spans="1:19" x14ac:dyDescent="0.2">
      <c r="A59">
        <v>58</v>
      </c>
      <c r="B59" t="s">
        <v>71</v>
      </c>
      <c r="C59" s="2">
        <v>24500</v>
      </c>
      <c r="D59" t="s">
        <v>49</v>
      </c>
      <c r="E59">
        <v>10.199999999999999</v>
      </c>
      <c r="F59">
        <v>0.65</v>
      </c>
      <c r="G59">
        <v>0.75</v>
      </c>
      <c r="H59" s="1">
        <v>6.5000000000000002E-2</v>
      </c>
      <c r="I59">
        <v>1.1499999999999999</v>
      </c>
      <c r="J59" s="3">
        <v>25202</v>
      </c>
      <c r="K59">
        <v>13.8</v>
      </c>
      <c r="L59" s="3">
        <v>25244</v>
      </c>
      <c r="M59">
        <v>13.6</v>
      </c>
      <c r="N59" s="1">
        <v>-1.4500000000000001E-2</v>
      </c>
      <c r="P59">
        <v>1</v>
      </c>
      <c r="Q59">
        <v>2</v>
      </c>
      <c r="R59" s="3">
        <v>25091</v>
      </c>
      <c r="S59" s="3">
        <v>25272</v>
      </c>
    </row>
    <row r="60" spans="1:19" x14ac:dyDescent="0.2">
      <c r="A60">
        <v>59</v>
      </c>
      <c r="B60" t="s">
        <v>83</v>
      </c>
      <c r="C60" s="2">
        <v>23800</v>
      </c>
      <c r="D60" t="s">
        <v>52</v>
      </c>
      <c r="E60">
        <v>6.8</v>
      </c>
      <c r="F60">
        <v>1.1000000000000001</v>
      </c>
      <c r="G60">
        <v>1.45</v>
      </c>
      <c r="H60" s="1">
        <v>7.1999999999999995E-2</v>
      </c>
      <c r="I60">
        <v>1.05</v>
      </c>
      <c r="J60" s="3">
        <v>25202</v>
      </c>
      <c r="K60">
        <v>6.5</v>
      </c>
      <c r="L60" s="3">
        <v>25244</v>
      </c>
      <c r="M60">
        <v>6.65</v>
      </c>
      <c r="N60" s="1">
        <v>2.3099999999999999E-2</v>
      </c>
      <c r="P60">
        <v>1</v>
      </c>
      <c r="Q60">
        <v>2</v>
      </c>
      <c r="R60" s="3">
        <v>25077</v>
      </c>
      <c r="S60" s="3">
        <v>25331</v>
      </c>
    </row>
    <row r="61" spans="1:19" x14ac:dyDescent="0.2">
      <c r="A61">
        <v>60</v>
      </c>
      <c r="B61" t="s">
        <v>84</v>
      </c>
      <c r="C61" s="2">
        <v>23200</v>
      </c>
      <c r="D61" t="s">
        <v>52</v>
      </c>
      <c r="E61">
        <v>9.1999999999999993</v>
      </c>
      <c r="F61">
        <v>0.85</v>
      </c>
      <c r="G61">
        <v>0.95</v>
      </c>
      <c r="H61" s="1">
        <v>6.8000000000000005E-2</v>
      </c>
      <c r="I61">
        <v>0.22</v>
      </c>
      <c r="J61" s="3">
        <v>25202</v>
      </c>
      <c r="K61">
        <v>2.14</v>
      </c>
      <c r="L61" s="3">
        <v>25244</v>
      </c>
      <c r="M61">
        <v>2.16</v>
      </c>
      <c r="N61" s="1">
        <v>9.2999999999999992E-3</v>
      </c>
      <c r="P61">
        <v>1</v>
      </c>
      <c r="Q61">
        <v>2</v>
      </c>
      <c r="R61" s="3">
        <v>25073</v>
      </c>
      <c r="S61" s="3">
        <v>25318</v>
      </c>
    </row>
    <row r="62" spans="1:19" x14ac:dyDescent="0.2">
      <c r="A62">
        <v>61</v>
      </c>
      <c r="B62" t="s">
        <v>98</v>
      </c>
      <c r="C62" s="2">
        <v>22800</v>
      </c>
      <c r="D62" t="s">
        <v>65</v>
      </c>
      <c r="E62">
        <v>15.2</v>
      </c>
      <c r="F62">
        <v>0.65</v>
      </c>
      <c r="G62">
        <v>0.6</v>
      </c>
      <c r="H62" s="1">
        <v>4.4999999999999998E-2</v>
      </c>
      <c r="I62">
        <v>1.25</v>
      </c>
      <c r="J62" s="3">
        <v>25202</v>
      </c>
      <c r="K62">
        <v>18.5</v>
      </c>
      <c r="L62" s="3">
        <v>25244</v>
      </c>
      <c r="M62">
        <v>19.2</v>
      </c>
      <c r="N62" s="1">
        <v>3.78E-2</v>
      </c>
      <c r="Q62">
        <v>2</v>
      </c>
      <c r="R62" s="3">
        <v>25073</v>
      </c>
      <c r="S62" s="3">
        <v>25331</v>
      </c>
    </row>
    <row r="63" spans="1:19" x14ac:dyDescent="0.2">
      <c r="A63">
        <v>62</v>
      </c>
      <c r="B63" t="s">
        <v>69</v>
      </c>
      <c r="C63" s="2">
        <v>22100</v>
      </c>
      <c r="D63" t="s">
        <v>21</v>
      </c>
      <c r="E63">
        <v>32.5</v>
      </c>
      <c r="F63">
        <v>2.1</v>
      </c>
      <c r="G63">
        <v>1.25</v>
      </c>
      <c r="H63" s="1">
        <v>8.0000000000000002E-3</v>
      </c>
      <c r="I63">
        <v>0.35</v>
      </c>
      <c r="J63" s="3">
        <v>25202</v>
      </c>
      <c r="K63">
        <v>10.199999999999999</v>
      </c>
      <c r="L63" s="3">
        <v>25244</v>
      </c>
      <c r="M63">
        <v>10.5</v>
      </c>
      <c r="N63" s="1">
        <v>2.9399999999999999E-2</v>
      </c>
      <c r="Q63">
        <v>1</v>
      </c>
      <c r="R63" s="3">
        <v>24978</v>
      </c>
      <c r="S63" s="3">
        <v>25342</v>
      </c>
    </row>
    <row r="64" spans="1:19" x14ac:dyDescent="0.2">
      <c r="A64">
        <v>63</v>
      </c>
      <c r="B64" t="s">
        <v>107</v>
      </c>
      <c r="C64" s="2">
        <v>21800</v>
      </c>
      <c r="D64" t="s">
        <v>58</v>
      </c>
      <c r="E64">
        <v>9.5</v>
      </c>
      <c r="F64">
        <v>0.8</v>
      </c>
      <c r="G64">
        <v>1.1000000000000001</v>
      </c>
      <c r="H64" s="1">
        <v>7.1999999999999995E-2</v>
      </c>
      <c r="I64">
        <v>5.4</v>
      </c>
      <c r="J64" s="3">
        <v>25202</v>
      </c>
      <c r="K64">
        <v>50.25</v>
      </c>
      <c r="L64" s="3">
        <v>25244</v>
      </c>
      <c r="M64">
        <v>50.75</v>
      </c>
      <c r="N64" s="1">
        <v>0.01</v>
      </c>
      <c r="P64">
        <v>1</v>
      </c>
      <c r="Q64">
        <v>2</v>
      </c>
      <c r="R64" s="3">
        <v>25106</v>
      </c>
      <c r="S64" s="3">
        <v>25311</v>
      </c>
    </row>
    <row r="65" spans="1:19" x14ac:dyDescent="0.2">
      <c r="A65">
        <v>64</v>
      </c>
      <c r="B65" t="s">
        <v>80</v>
      </c>
      <c r="C65" s="2">
        <v>21200</v>
      </c>
      <c r="D65" t="s">
        <v>56</v>
      </c>
      <c r="E65">
        <v>10.5</v>
      </c>
      <c r="F65">
        <v>1.4</v>
      </c>
      <c r="G65">
        <v>0.7</v>
      </c>
      <c r="H65" s="1">
        <v>4.2000000000000003E-2</v>
      </c>
      <c r="I65">
        <v>0.85</v>
      </c>
      <c r="J65" s="3">
        <v>25202</v>
      </c>
      <c r="K65">
        <v>8.25</v>
      </c>
      <c r="L65" s="3">
        <v>25244</v>
      </c>
      <c r="M65">
        <v>8.5</v>
      </c>
      <c r="N65" s="1">
        <v>3.0300000000000001E-2</v>
      </c>
      <c r="Q65">
        <v>2</v>
      </c>
      <c r="R65" s="3">
        <v>25092</v>
      </c>
      <c r="S65" s="3">
        <v>25338</v>
      </c>
    </row>
    <row r="66" spans="1:19" x14ac:dyDescent="0.2">
      <c r="A66">
        <v>65</v>
      </c>
      <c r="B66" t="s">
        <v>81</v>
      </c>
      <c r="C66" s="2">
        <v>20900</v>
      </c>
      <c r="D66" t="s">
        <v>56</v>
      </c>
      <c r="E66">
        <v>6.2</v>
      </c>
      <c r="F66">
        <v>0.45</v>
      </c>
      <c r="G66">
        <v>0.4</v>
      </c>
      <c r="H66" s="1">
        <v>8.5000000000000006E-2</v>
      </c>
      <c r="I66">
        <v>4.0999999999999996</v>
      </c>
      <c r="J66" s="3">
        <v>25202</v>
      </c>
      <c r="K66">
        <v>25</v>
      </c>
      <c r="L66" s="3">
        <v>25244</v>
      </c>
      <c r="M66">
        <v>25.75</v>
      </c>
      <c r="N66" s="1">
        <v>0.03</v>
      </c>
      <c r="P66">
        <v>1</v>
      </c>
      <c r="Q66">
        <v>2</v>
      </c>
      <c r="R66" s="3">
        <v>25072</v>
      </c>
      <c r="S66" s="3">
        <v>25282</v>
      </c>
    </row>
    <row r="67" spans="1:19" x14ac:dyDescent="0.2">
      <c r="A67">
        <v>66</v>
      </c>
      <c r="B67" t="s">
        <v>73</v>
      </c>
      <c r="C67" s="2">
        <v>20400</v>
      </c>
      <c r="D67" t="s">
        <v>49</v>
      </c>
      <c r="E67">
        <v>12.5</v>
      </c>
      <c r="F67">
        <v>0.65</v>
      </c>
      <c r="G67">
        <v>1.65</v>
      </c>
      <c r="H67" s="1">
        <v>4.8000000000000001E-2</v>
      </c>
      <c r="I67">
        <v>0.65</v>
      </c>
      <c r="J67" s="3">
        <v>25202</v>
      </c>
      <c r="K67">
        <v>6.8</v>
      </c>
      <c r="L67" s="3">
        <v>25244</v>
      </c>
      <c r="M67">
        <v>6.75</v>
      </c>
      <c r="N67" s="1">
        <v>-7.4000000000000003E-3</v>
      </c>
      <c r="Q67">
        <v>2</v>
      </c>
      <c r="R67" s="3">
        <v>25085</v>
      </c>
      <c r="S67" s="3">
        <v>25266</v>
      </c>
    </row>
    <row r="68" spans="1:19" x14ac:dyDescent="0.2">
      <c r="A68">
        <v>67</v>
      </c>
      <c r="B68" t="s">
        <v>72</v>
      </c>
      <c r="C68" s="2">
        <v>19800</v>
      </c>
      <c r="D68" t="s">
        <v>49</v>
      </c>
      <c r="E68">
        <v>13.2</v>
      </c>
      <c r="F68">
        <v>1.4</v>
      </c>
      <c r="G68">
        <v>1.4</v>
      </c>
      <c r="H68" s="1">
        <v>4.2000000000000003E-2</v>
      </c>
      <c r="I68">
        <v>0.22</v>
      </c>
      <c r="J68" s="3">
        <v>25202</v>
      </c>
      <c r="K68">
        <v>2.8</v>
      </c>
      <c r="L68" s="3">
        <v>25244</v>
      </c>
      <c r="M68">
        <v>2.84</v>
      </c>
      <c r="N68" s="1">
        <v>1.43E-2</v>
      </c>
      <c r="Q68">
        <v>1</v>
      </c>
      <c r="R68" s="3">
        <v>24952</v>
      </c>
      <c r="S68" s="3">
        <v>25316</v>
      </c>
    </row>
    <row r="69" spans="1:19" x14ac:dyDescent="0.2">
      <c r="A69">
        <v>68</v>
      </c>
      <c r="B69" t="s">
        <v>86</v>
      </c>
      <c r="C69" s="2">
        <v>19200</v>
      </c>
      <c r="D69" t="s">
        <v>58</v>
      </c>
      <c r="E69">
        <v>22</v>
      </c>
      <c r="F69">
        <v>1.4</v>
      </c>
      <c r="G69">
        <v>1.55</v>
      </c>
      <c r="H69" s="1">
        <v>1.7999999999999999E-2</v>
      </c>
      <c r="I69">
        <v>0.85</v>
      </c>
      <c r="J69" s="3">
        <v>25202</v>
      </c>
      <c r="K69">
        <v>13.5</v>
      </c>
      <c r="L69" s="3">
        <v>25244</v>
      </c>
      <c r="M69">
        <v>14.2</v>
      </c>
      <c r="N69" s="1">
        <v>5.1900000000000002E-2</v>
      </c>
      <c r="Q69">
        <v>2</v>
      </c>
      <c r="R69" s="3">
        <v>25074</v>
      </c>
      <c r="S69" s="3">
        <v>25303</v>
      </c>
    </row>
    <row r="70" spans="1:19" x14ac:dyDescent="0.2">
      <c r="A70">
        <v>69</v>
      </c>
      <c r="B70" t="s">
        <v>120</v>
      </c>
      <c r="C70" s="2">
        <v>18800</v>
      </c>
      <c r="D70" t="s">
        <v>49</v>
      </c>
      <c r="E70">
        <v>14.8</v>
      </c>
      <c r="F70">
        <v>1.6</v>
      </c>
      <c r="G70">
        <v>2.1</v>
      </c>
      <c r="H70" s="1">
        <v>3.5000000000000003E-2</v>
      </c>
      <c r="I70">
        <v>0.62</v>
      </c>
      <c r="J70" s="3">
        <v>25202</v>
      </c>
      <c r="K70">
        <v>8.5</v>
      </c>
      <c r="L70" s="3">
        <v>25244</v>
      </c>
      <c r="M70">
        <v>8.65</v>
      </c>
      <c r="N70" s="1">
        <v>1.7600000000000001E-2</v>
      </c>
      <c r="Q70">
        <v>1</v>
      </c>
      <c r="R70" s="3">
        <v>24911</v>
      </c>
      <c r="S70" s="3">
        <v>25275</v>
      </c>
    </row>
    <row r="71" spans="1:19" x14ac:dyDescent="0.2">
      <c r="A71">
        <v>70</v>
      </c>
      <c r="B71" t="s">
        <v>82</v>
      </c>
      <c r="C71" s="2">
        <v>18200</v>
      </c>
      <c r="D71" t="s">
        <v>52</v>
      </c>
      <c r="E71">
        <v>7.5</v>
      </c>
      <c r="F71">
        <v>0.75</v>
      </c>
      <c r="G71">
        <v>1.35</v>
      </c>
      <c r="H71" s="1">
        <v>6.2E-2</v>
      </c>
      <c r="I71">
        <v>0.45</v>
      </c>
      <c r="J71" s="3">
        <v>25202</v>
      </c>
      <c r="K71">
        <v>3.25</v>
      </c>
      <c r="L71" s="3">
        <v>25244</v>
      </c>
      <c r="M71">
        <v>3.32</v>
      </c>
      <c r="N71" s="1">
        <v>2.1499999999999998E-2</v>
      </c>
      <c r="P71">
        <v>1</v>
      </c>
      <c r="Q71">
        <v>2</v>
      </c>
      <c r="R71" s="3">
        <v>25073</v>
      </c>
      <c r="S71" s="3">
        <v>25325</v>
      </c>
    </row>
    <row r="72" spans="1:19" x14ac:dyDescent="0.2">
      <c r="A72">
        <v>71</v>
      </c>
      <c r="B72" t="s">
        <v>76</v>
      </c>
      <c r="C72" s="2">
        <v>17900</v>
      </c>
      <c r="D72" t="s">
        <v>28</v>
      </c>
      <c r="E72">
        <v>18.5</v>
      </c>
      <c r="F72">
        <v>2.4</v>
      </c>
      <c r="G72">
        <v>0.2</v>
      </c>
      <c r="H72" s="1">
        <v>2.5000000000000001E-2</v>
      </c>
      <c r="I72">
        <v>1.1499999999999999</v>
      </c>
      <c r="J72" s="3">
        <v>25202</v>
      </c>
      <c r="K72">
        <v>22.5</v>
      </c>
      <c r="L72" s="3">
        <v>25244</v>
      </c>
      <c r="M72">
        <v>23.2</v>
      </c>
      <c r="N72" s="1">
        <v>3.1099999999999999E-2</v>
      </c>
      <c r="Q72">
        <v>1</v>
      </c>
      <c r="R72" s="3">
        <v>24968</v>
      </c>
      <c r="S72" s="3">
        <v>25332</v>
      </c>
    </row>
    <row r="73" spans="1:19" x14ac:dyDescent="0.2">
      <c r="A73">
        <v>72</v>
      </c>
      <c r="B73" t="s">
        <v>88</v>
      </c>
      <c r="C73" s="2">
        <v>17400</v>
      </c>
      <c r="D73" t="s">
        <v>58</v>
      </c>
      <c r="E73">
        <v>10.199999999999999</v>
      </c>
      <c r="F73">
        <v>1.25</v>
      </c>
      <c r="G73">
        <v>3.5</v>
      </c>
      <c r="H73" s="1">
        <v>3.7999999999999999E-2</v>
      </c>
      <c r="I73">
        <v>12.5</v>
      </c>
      <c r="J73" s="3">
        <v>25202</v>
      </c>
      <c r="K73">
        <v>135</v>
      </c>
      <c r="L73" s="3">
        <v>25244</v>
      </c>
      <c r="M73">
        <v>138</v>
      </c>
      <c r="N73" s="1">
        <v>2.2200000000000001E-2</v>
      </c>
      <c r="Q73">
        <v>2</v>
      </c>
      <c r="R73" s="3">
        <v>25129</v>
      </c>
      <c r="S73" s="3">
        <v>25394</v>
      </c>
    </row>
    <row r="74" spans="1:19" x14ac:dyDescent="0.2">
      <c r="A74">
        <v>73</v>
      </c>
      <c r="B74" t="s">
        <v>89</v>
      </c>
      <c r="C74" s="2">
        <v>16800</v>
      </c>
      <c r="D74" t="s">
        <v>58</v>
      </c>
      <c r="E74">
        <v>9.5</v>
      </c>
      <c r="F74">
        <v>1.1000000000000001</v>
      </c>
      <c r="G74">
        <v>4.2</v>
      </c>
      <c r="H74" s="1">
        <v>6.5000000000000002E-2</v>
      </c>
      <c r="I74">
        <v>2.1</v>
      </c>
      <c r="J74" s="3">
        <v>25202</v>
      </c>
      <c r="K74">
        <v>18.5</v>
      </c>
      <c r="L74" s="3">
        <v>25244</v>
      </c>
      <c r="M74">
        <v>18.8</v>
      </c>
      <c r="N74" s="1">
        <v>1.6199999999999999E-2</v>
      </c>
      <c r="Q74">
        <v>1</v>
      </c>
      <c r="R74" s="3">
        <v>24956</v>
      </c>
      <c r="S74" s="3">
        <v>25320</v>
      </c>
    </row>
    <row r="75" spans="1:19" x14ac:dyDescent="0.2">
      <c r="A75">
        <v>74</v>
      </c>
      <c r="B75" t="s">
        <v>91</v>
      </c>
      <c r="C75" s="2">
        <v>16500</v>
      </c>
      <c r="D75" t="s">
        <v>90</v>
      </c>
      <c r="E75">
        <v>12.4</v>
      </c>
      <c r="F75">
        <v>0.8</v>
      </c>
      <c r="G75">
        <v>0.15</v>
      </c>
      <c r="H75" s="1">
        <v>2.5000000000000001E-2</v>
      </c>
      <c r="I75">
        <v>1.55</v>
      </c>
      <c r="J75" s="3">
        <v>25202</v>
      </c>
      <c r="K75">
        <v>17.5</v>
      </c>
      <c r="L75" s="3">
        <v>25244</v>
      </c>
      <c r="M75">
        <v>17.8</v>
      </c>
      <c r="N75" s="1">
        <v>1.7100000000000001E-2</v>
      </c>
      <c r="Q75">
        <v>1</v>
      </c>
      <c r="R75" s="3">
        <v>24966</v>
      </c>
      <c r="S75" s="3">
        <v>25330</v>
      </c>
    </row>
    <row r="76" spans="1:19" x14ac:dyDescent="0.2">
      <c r="A76">
        <v>75</v>
      </c>
      <c r="B76" t="s">
        <v>92</v>
      </c>
      <c r="C76" s="2">
        <v>16200</v>
      </c>
      <c r="D76" t="s">
        <v>90</v>
      </c>
      <c r="E76">
        <v>14.2</v>
      </c>
      <c r="F76">
        <v>1.1499999999999999</v>
      </c>
      <c r="G76">
        <v>0.2</v>
      </c>
      <c r="H76" s="1">
        <v>3.1E-2</v>
      </c>
      <c r="I76">
        <v>0.85</v>
      </c>
      <c r="J76" s="3">
        <v>25202</v>
      </c>
      <c r="K76">
        <v>8.5</v>
      </c>
      <c r="L76" s="3">
        <v>25244</v>
      </c>
      <c r="M76">
        <v>8.65</v>
      </c>
      <c r="N76" s="1">
        <v>1.7600000000000001E-2</v>
      </c>
      <c r="Q76">
        <v>1</v>
      </c>
      <c r="R76" s="3">
        <v>24973</v>
      </c>
      <c r="S76" s="3">
        <v>25337</v>
      </c>
    </row>
    <row r="77" spans="1:19" x14ac:dyDescent="0.2">
      <c r="A77">
        <v>76</v>
      </c>
      <c r="B77" t="s">
        <v>99</v>
      </c>
      <c r="C77" s="2">
        <v>15800</v>
      </c>
      <c r="D77" t="s">
        <v>65</v>
      </c>
      <c r="E77">
        <v>18.5</v>
      </c>
      <c r="F77">
        <v>0.75</v>
      </c>
      <c r="G77">
        <v>0.45</v>
      </c>
      <c r="H77" s="1">
        <v>3.7999999999999999E-2</v>
      </c>
      <c r="I77">
        <v>0.55000000000000004</v>
      </c>
      <c r="J77" s="3">
        <v>25202</v>
      </c>
      <c r="K77">
        <v>10.5</v>
      </c>
      <c r="L77" s="3">
        <v>25244</v>
      </c>
      <c r="M77">
        <v>11.2</v>
      </c>
      <c r="N77" s="1">
        <v>6.6699999999999995E-2</v>
      </c>
      <c r="Q77">
        <v>2</v>
      </c>
      <c r="R77" s="3">
        <v>25073</v>
      </c>
      <c r="S77" s="3">
        <v>25338</v>
      </c>
    </row>
    <row r="78" spans="1:19" x14ac:dyDescent="0.2">
      <c r="A78">
        <v>77</v>
      </c>
      <c r="B78" t="s">
        <v>79</v>
      </c>
      <c r="C78" s="2">
        <v>15200</v>
      </c>
      <c r="D78" t="s">
        <v>56</v>
      </c>
      <c r="E78">
        <v>25.4</v>
      </c>
      <c r="F78">
        <v>1.85</v>
      </c>
      <c r="G78">
        <v>1.1000000000000001</v>
      </c>
      <c r="H78" s="1">
        <v>1.4999999999999999E-2</v>
      </c>
      <c r="I78">
        <v>0.45</v>
      </c>
      <c r="J78" s="3">
        <v>25202</v>
      </c>
      <c r="K78">
        <v>12.5</v>
      </c>
      <c r="L78" s="3">
        <v>25244</v>
      </c>
      <c r="M78">
        <v>12.8</v>
      </c>
      <c r="N78" s="1">
        <v>2.4E-2</v>
      </c>
      <c r="Q78">
        <v>1</v>
      </c>
      <c r="R78" s="3">
        <v>24981</v>
      </c>
      <c r="S78" s="3">
        <v>25345</v>
      </c>
    </row>
    <row r="79" spans="1:19" x14ac:dyDescent="0.2">
      <c r="A79">
        <v>80</v>
      </c>
      <c r="B79" t="s">
        <v>97</v>
      </c>
      <c r="C79" s="2">
        <v>14800</v>
      </c>
      <c r="D79" t="s">
        <v>121</v>
      </c>
      <c r="E79">
        <v>11.5</v>
      </c>
      <c r="F79">
        <v>1.45</v>
      </c>
      <c r="G79">
        <v>0.55000000000000004</v>
      </c>
      <c r="H79" s="1">
        <v>5.1999999999999998E-2</v>
      </c>
      <c r="I79">
        <v>1.45</v>
      </c>
      <c r="J79" s="3">
        <v>25202</v>
      </c>
      <c r="K79">
        <v>17.5</v>
      </c>
      <c r="L79" s="3">
        <v>25244</v>
      </c>
      <c r="M79">
        <v>17.8</v>
      </c>
      <c r="N79" s="1">
        <v>1.7100000000000001E-2</v>
      </c>
      <c r="P79">
        <v>1</v>
      </c>
      <c r="Q79">
        <v>2</v>
      </c>
      <c r="R79" s="3">
        <v>25092</v>
      </c>
      <c r="S79" s="3">
        <v>25266</v>
      </c>
    </row>
    <row r="80" spans="1:19" x14ac:dyDescent="0.2">
      <c r="A80">
        <v>79</v>
      </c>
      <c r="B80" t="s">
        <v>78</v>
      </c>
      <c r="C80" s="2">
        <v>14300</v>
      </c>
      <c r="D80" t="s">
        <v>57</v>
      </c>
      <c r="E80">
        <v>12.2</v>
      </c>
      <c r="F80">
        <v>1.45</v>
      </c>
      <c r="G80">
        <v>1.85</v>
      </c>
      <c r="H80" s="1">
        <v>3.7999999999999999E-2</v>
      </c>
      <c r="I80">
        <v>0.35</v>
      </c>
      <c r="J80" s="3">
        <v>25202</v>
      </c>
      <c r="K80">
        <v>4.1500000000000004</v>
      </c>
      <c r="L80" s="3">
        <v>25244</v>
      </c>
      <c r="M80">
        <v>4.25</v>
      </c>
      <c r="N80" s="1">
        <v>2.41E-2</v>
      </c>
      <c r="Q80">
        <v>2</v>
      </c>
      <c r="R80" s="3">
        <v>25078</v>
      </c>
      <c r="S80" s="3">
        <v>25328</v>
      </c>
    </row>
    <row r="81" spans="1:19" x14ac:dyDescent="0.2">
      <c r="A81">
        <v>80</v>
      </c>
      <c r="B81" t="s">
        <v>122</v>
      </c>
      <c r="C81" s="2">
        <v>13900</v>
      </c>
      <c r="D81" t="s">
        <v>57</v>
      </c>
      <c r="E81">
        <v>18.2</v>
      </c>
      <c r="F81">
        <v>1.1499999999999999</v>
      </c>
      <c r="G81">
        <v>1.1000000000000001</v>
      </c>
      <c r="H81" s="1">
        <v>2.5000000000000001E-2</v>
      </c>
      <c r="I81">
        <v>1.1499999999999999</v>
      </c>
      <c r="J81" s="3">
        <v>25202</v>
      </c>
      <c r="K81">
        <v>21.5</v>
      </c>
      <c r="L81" s="3">
        <v>25244</v>
      </c>
      <c r="M81">
        <v>22</v>
      </c>
      <c r="N81" s="1">
        <v>2.3300000000000001E-2</v>
      </c>
      <c r="Q81">
        <v>2</v>
      </c>
      <c r="R81" s="3">
        <v>25085</v>
      </c>
      <c r="S81" s="3">
        <v>25335</v>
      </c>
    </row>
    <row r="82" spans="1:19" x14ac:dyDescent="0.2">
      <c r="A82">
        <v>81</v>
      </c>
      <c r="B82" t="s">
        <v>123</v>
      </c>
      <c r="C82" s="2">
        <v>13500</v>
      </c>
      <c r="D82" t="s">
        <v>65</v>
      </c>
      <c r="E82">
        <v>9.8000000000000007</v>
      </c>
      <c r="F82">
        <v>1.05</v>
      </c>
      <c r="G82">
        <v>0.4</v>
      </c>
      <c r="H82" s="1">
        <v>3.5000000000000003E-2</v>
      </c>
      <c r="I82">
        <v>1.1200000000000001</v>
      </c>
      <c r="J82" s="3">
        <v>25202</v>
      </c>
      <c r="K82">
        <v>10.8</v>
      </c>
      <c r="L82" s="3">
        <v>25244</v>
      </c>
      <c r="M82">
        <v>11.2</v>
      </c>
      <c r="N82" s="1">
        <v>3.6999999999999998E-2</v>
      </c>
      <c r="Q82">
        <v>1</v>
      </c>
      <c r="R82" s="3">
        <v>24956</v>
      </c>
      <c r="S82" s="3">
        <v>25320</v>
      </c>
    </row>
    <row r="83" spans="1:19" x14ac:dyDescent="0.2">
      <c r="A83">
        <v>82</v>
      </c>
      <c r="B83" t="s">
        <v>70</v>
      </c>
      <c r="C83" s="2">
        <v>13100</v>
      </c>
      <c r="D83" t="s">
        <v>21</v>
      </c>
      <c r="E83">
        <v>28.5</v>
      </c>
      <c r="F83">
        <v>5.4</v>
      </c>
      <c r="G83">
        <v>0.25</v>
      </c>
      <c r="H83" s="1">
        <v>1.2E-2</v>
      </c>
      <c r="I83">
        <v>1.65</v>
      </c>
      <c r="J83" s="3">
        <v>25202</v>
      </c>
      <c r="K83">
        <v>45</v>
      </c>
      <c r="L83" s="3">
        <v>25244</v>
      </c>
      <c r="M83">
        <v>48.5</v>
      </c>
      <c r="N83" s="1">
        <v>7.7799999999999994E-2</v>
      </c>
      <c r="Q83">
        <v>1</v>
      </c>
      <c r="R83" s="3">
        <v>24960</v>
      </c>
      <c r="S83" s="3">
        <v>25327</v>
      </c>
    </row>
    <row r="84" spans="1:19" x14ac:dyDescent="0.2">
      <c r="A84">
        <v>83</v>
      </c>
      <c r="B84" t="s">
        <v>96</v>
      </c>
      <c r="C84" s="2">
        <v>12500</v>
      </c>
      <c r="D84" t="s">
        <v>95</v>
      </c>
      <c r="E84">
        <v>24.2</v>
      </c>
      <c r="F84">
        <v>2.4</v>
      </c>
      <c r="G84">
        <v>1.95</v>
      </c>
      <c r="H84" s="1">
        <v>1.4999999999999999E-2</v>
      </c>
      <c r="I84">
        <v>0.18</v>
      </c>
      <c r="J84" s="3">
        <v>25202</v>
      </c>
      <c r="K84">
        <v>4.2</v>
      </c>
      <c r="L84" s="3">
        <v>25244</v>
      </c>
      <c r="M84">
        <v>4.1500000000000004</v>
      </c>
      <c r="N84" s="1">
        <v>-1.1900000000000001E-2</v>
      </c>
      <c r="Q84">
        <v>1</v>
      </c>
      <c r="R84" s="3">
        <v>24903</v>
      </c>
      <c r="S84" s="3">
        <v>25267</v>
      </c>
    </row>
    <row r="85" spans="1:19" x14ac:dyDescent="0.2">
      <c r="A85">
        <v>84</v>
      </c>
      <c r="B85" t="s">
        <v>44</v>
      </c>
      <c r="C85" s="2">
        <v>12000</v>
      </c>
      <c r="D85" t="s">
        <v>95</v>
      </c>
      <c r="E85">
        <v>26.5</v>
      </c>
      <c r="F85">
        <v>2.85</v>
      </c>
      <c r="G85">
        <v>1.4</v>
      </c>
      <c r="H85" s="1">
        <v>1.2E-2</v>
      </c>
      <c r="I85">
        <v>1.35</v>
      </c>
      <c r="J85" s="3">
        <v>25202</v>
      </c>
      <c r="K85">
        <v>36.5</v>
      </c>
      <c r="L85" s="3">
        <v>25244</v>
      </c>
      <c r="M85">
        <v>35.75</v>
      </c>
      <c r="N85" s="1">
        <v>-2.0500000000000001E-2</v>
      </c>
      <c r="Q85">
        <v>1</v>
      </c>
      <c r="R85" s="3">
        <v>24901</v>
      </c>
      <c r="S85" s="3">
        <v>25268</v>
      </c>
    </row>
    <row r="86" spans="1:19" x14ac:dyDescent="0.2">
      <c r="A86">
        <v>85</v>
      </c>
      <c r="B86" t="s">
        <v>124</v>
      </c>
      <c r="C86" s="2">
        <v>11500</v>
      </c>
      <c r="D86" t="s">
        <v>56</v>
      </c>
      <c r="E86">
        <v>15.8</v>
      </c>
      <c r="F86">
        <v>1.2</v>
      </c>
      <c r="G86">
        <v>2.5</v>
      </c>
      <c r="H86" s="1">
        <v>0</v>
      </c>
      <c r="I86">
        <v>0.15</v>
      </c>
      <c r="J86" s="3">
        <v>25202</v>
      </c>
      <c r="K86">
        <v>2.4</v>
      </c>
      <c r="L86" s="3">
        <v>25244</v>
      </c>
      <c r="M86">
        <v>2.44</v>
      </c>
      <c r="N86" s="1">
        <v>1.67E-2</v>
      </c>
      <c r="Q86">
        <v>0</v>
      </c>
      <c r="R86" t="s">
        <v>125</v>
      </c>
      <c r="S86" t="s">
        <v>125</v>
      </c>
    </row>
    <row r="87" spans="1:19" x14ac:dyDescent="0.2">
      <c r="A87">
        <v>86</v>
      </c>
      <c r="B87" t="s">
        <v>126</v>
      </c>
      <c r="C87" s="2">
        <v>11100</v>
      </c>
      <c r="D87" t="s">
        <v>56</v>
      </c>
      <c r="E87">
        <v>14.5</v>
      </c>
      <c r="F87">
        <v>2.1</v>
      </c>
      <c r="G87">
        <v>1.65</v>
      </c>
      <c r="H87" s="1">
        <v>1.7999999999999999E-2</v>
      </c>
      <c r="I87">
        <v>1.25</v>
      </c>
      <c r="J87" s="3">
        <v>25202</v>
      </c>
      <c r="K87">
        <v>20.5</v>
      </c>
      <c r="L87" s="3">
        <v>25244</v>
      </c>
      <c r="M87">
        <v>21.2</v>
      </c>
      <c r="N87" s="1">
        <v>3.4099999999999998E-2</v>
      </c>
      <c r="Q87">
        <v>2</v>
      </c>
      <c r="R87" s="3">
        <v>25085</v>
      </c>
      <c r="S87" s="3">
        <v>25276</v>
      </c>
    </row>
    <row r="88" spans="1:19" x14ac:dyDescent="0.2">
      <c r="A88">
        <v>87</v>
      </c>
      <c r="B88" t="s">
        <v>127</v>
      </c>
      <c r="C88" s="2">
        <v>10700</v>
      </c>
      <c r="D88" t="s">
        <v>62</v>
      </c>
      <c r="E88">
        <v>18.399999999999999</v>
      </c>
      <c r="F88">
        <v>0.88</v>
      </c>
      <c r="G88">
        <v>1.1499999999999999</v>
      </c>
      <c r="H88" s="1">
        <v>2.1000000000000001E-2</v>
      </c>
      <c r="I88">
        <v>0.45</v>
      </c>
      <c r="J88" s="3">
        <v>25202</v>
      </c>
      <c r="K88">
        <v>9.1999999999999993</v>
      </c>
      <c r="L88" s="3">
        <v>25244</v>
      </c>
      <c r="M88">
        <v>9.15</v>
      </c>
      <c r="N88" s="1">
        <v>-5.4000000000000003E-3</v>
      </c>
      <c r="Q88">
        <v>1</v>
      </c>
      <c r="R88" s="3">
        <v>24960</v>
      </c>
      <c r="S88" s="3">
        <v>25326</v>
      </c>
    </row>
    <row r="89" spans="1:19" x14ac:dyDescent="0.2">
      <c r="A89">
        <v>88</v>
      </c>
      <c r="B89" t="s">
        <v>94</v>
      </c>
      <c r="C89" s="2">
        <v>10100</v>
      </c>
      <c r="D89" t="s">
        <v>51</v>
      </c>
      <c r="E89">
        <v>55</v>
      </c>
      <c r="F89">
        <v>12.5</v>
      </c>
      <c r="G89">
        <v>0.55000000000000004</v>
      </c>
      <c r="H89" s="1">
        <v>0</v>
      </c>
      <c r="I89">
        <v>1.1499999999999999</v>
      </c>
      <c r="J89" s="3">
        <v>25202</v>
      </c>
      <c r="K89">
        <v>65</v>
      </c>
      <c r="L89" s="3">
        <v>25244</v>
      </c>
      <c r="M89">
        <v>72</v>
      </c>
      <c r="N89" s="1">
        <v>0.107</v>
      </c>
      <c r="Q89">
        <v>0</v>
      </c>
      <c r="R89" t="s">
        <v>125</v>
      </c>
      <c r="S89" t="s">
        <v>125</v>
      </c>
    </row>
    <row r="90" spans="1:19" x14ac:dyDescent="0.2">
      <c r="A90">
        <v>89</v>
      </c>
      <c r="B90" t="s">
        <v>128</v>
      </c>
      <c r="C90" s="2">
        <v>9200</v>
      </c>
      <c r="D90" t="s">
        <v>58</v>
      </c>
      <c r="E90">
        <v>11.2</v>
      </c>
      <c r="F90">
        <v>1.05</v>
      </c>
      <c r="G90">
        <v>3.8</v>
      </c>
      <c r="H90" s="1">
        <v>6.8000000000000005E-2</v>
      </c>
      <c r="I90">
        <v>0.18</v>
      </c>
      <c r="J90" s="3">
        <v>25202</v>
      </c>
      <c r="K90">
        <v>2.1</v>
      </c>
      <c r="L90" s="3">
        <v>25244</v>
      </c>
      <c r="M90">
        <v>2.06</v>
      </c>
      <c r="N90" s="1">
        <v>-1.9E-2</v>
      </c>
      <c r="P90">
        <v>1</v>
      </c>
      <c r="Q90">
        <v>1</v>
      </c>
      <c r="R90" s="3">
        <v>24946</v>
      </c>
      <c r="S90" s="3">
        <v>25312</v>
      </c>
    </row>
    <row r="91" spans="1:19" x14ac:dyDescent="0.2">
      <c r="A91">
        <v>90</v>
      </c>
      <c r="B91" t="s">
        <v>129</v>
      </c>
      <c r="C91" s="2">
        <v>8700</v>
      </c>
      <c r="D91" t="s">
        <v>57</v>
      </c>
      <c r="E91">
        <v>17.5</v>
      </c>
      <c r="F91">
        <v>3.8</v>
      </c>
      <c r="G91">
        <v>0.45</v>
      </c>
      <c r="H91" s="1">
        <v>2.5000000000000001E-2</v>
      </c>
      <c r="I91">
        <v>0.65</v>
      </c>
      <c r="J91" s="3">
        <v>25202</v>
      </c>
      <c r="K91">
        <v>12.5</v>
      </c>
      <c r="L91" s="3">
        <v>25244</v>
      </c>
      <c r="M91">
        <v>13.2</v>
      </c>
      <c r="N91" s="1">
        <v>5.6000000000000001E-2</v>
      </c>
      <c r="Q91">
        <v>2</v>
      </c>
      <c r="R91" s="3">
        <v>25073</v>
      </c>
      <c r="S91" s="3">
        <v>25331</v>
      </c>
    </row>
    <row r="92" spans="1:19" x14ac:dyDescent="0.2">
      <c r="A92">
        <v>91</v>
      </c>
      <c r="B92" t="s">
        <v>130</v>
      </c>
      <c r="C92" s="2">
        <v>8200</v>
      </c>
      <c r="D92" t="s">
        <v>131</v>
      </c>
      <c r="E92">
        <v>28.2</v>
      </c>
      <c r="F92">
        <v>5.0999999999999996</v>
      </c>
      <c r="G92">
        <v>0.35</v>
      </c>
      <c r="H92" s="1">
        <v>1.0999999999999999E-2</v>
      </c>
      <c r="I92">
        <v>0.25</v>
      </c>
      <c r="J92" s="3">
        <v>25202</v>
      </c>
      <c r="K92">
        <v>7.5</v>
      </c>
      <c r="L92" s="3">
        <v>25244</v>
      </c>
      <c r="M92">
        <v>7.85</v>
      </c>
      <c r="N92" s="1">
        <v>4.6699999999999998E-2</v>
      </c>
      <c r="Q92">
        <v>1</v>
      </c>
      <c r="R92" s="3">
        <v>24968</v>
      </c>
      <c r="S92" s="3">
        <v>25335</v>
      </c>
    </row>
    <row r="93" spans="1:19" x14ac:dyDescent="0.2">
      <c r="A93">
        <v>92</v>
      </c>
      <c r="B93" t="s">
        <v>132</v>
      </c>
      <c r="C93" s="2">
        <v>7800</v>
      </c>
      <c r="D93" t="s">
        <v>131</v>
      </c>
      <c r="E93">
        <v>24.5</v>
      </c>
      <c r="F93">
        <v>6.2</v>
      </c>
      <c r="G93">
        <v>0.15</v>
      </c>
      <c r="H93" s="1">
        <v>1.7999999999999999E-2</v>
      </c>
      <c r="I93">
        <v>1.1499999999999999</v>
      </c>
      <c r="J93" s="3">
        <v>25202</v>
      </c>
      <c r="K93">
        <v>28.5</v>
      </c>
      <c r="L93" s="3">
        <v>25244</v>
      </c>
      <c r="M93">
        <v>30.25</v>
      </c>
      <c r="N93" s="1">
        <v>6.1400000000000003E-2</v>
      </c>
      <c r="Q93">
        <v>2</v>
      </c>
      <c r="R93" s="3">
        <v>25092</v>
      </c>
      <c r="S93" s="3">
        <v>25317</v>
      </c>
    </row>
    <row r="94" spans="1:19" x14ac:dyDescent="0.2">
      <c r="A94">
        <v>93</v>
      </c>
      <c r="B94" t="s">
        <v>133</v>
      </c>
      <c r="C94" s="2">
        <v>7500</v>
      </c>
      <c r="D94" t="s">
        <v>51</v>
      </c>
      <c r="E94">
        <v>21.4</v>
      </c>
      <c r="F94">
        <v>3.45</v>
      </c>
      <c r="G94">
        <v>1.2</v>
      </c>
      <c r="H94" s="1">
        <v>2.1000000000000001E-2</v>
      </c>
      <c r="I94">
        <v>0.65</v>
      </c>
      <c r="J94" s="3">
        <v>25202</v>
      </c>
      <c r="K94">
        <v>14.5</v>
      </c>
      <c r="L94" s="3">
        <v>25244</v>
      </c>
      <c r="M94">
        <v>14.8</v>
      </c>
      <c r="N94" s="1">
        <v>2.07E-2</v>
      </c>
      <c r="Q94">
        <v>2</v>
      </c>
      <c r="R94" s="3">
        <v>25092</v>
      </c>
      <c r="S94" s="3">
        <v>25282</v>
      </c>
    </row>
    <row r="95" spans="1:19" x14ac:dyDescent="0.2">
      <c r="A95">
        <v>94</v>
      </c>
      <c r="B95" t="s">
        <v>134</v>
      </c>
      <c r="C95" s="2">
        <v>7100</v>
      </c>
      <c r="D95" t="s">
        <v>135</v>
      </c>
      <c r="E95">
        <v>22.1</v>
      </c>
      <c r="F95">
        <v>3.1</v>
      </c>
      <c r="G95">
        <v>0.25</v>
      </c>
      <c r="H95" s="1">
        <v>2.4E-2</v>
      </c>
      <c r="I95">
        <v>0.22</v>
      </c>
      <c r="J95" s="3">
        <v>25202</v>
      </c>
      <c r="K95">
        <v>4.8499999999999996</v>
      </c>
      <c r="L95" s="3">
        <v>25244</v>
      </c>
      <c r="M95">
        <v>4.95</v>
      </c>
      <c r="N95" s="1">
        <v>2.06E-2</v>
      </c>
      <c r="Q95">
        <v>1</v>
      </c>
      <c r="R95" s="3">
        <v>24965</v>
      </c>
      <c r="S95" s="3">
        <v>25331</v>
      </c>
    </row>
    <row r="96" spans="1:19" x14ac:dyDescent="0.2">
      <c r="A96">
        <v>95</v>
      </c>
      <c r="B96" t="s">
        <v>136</v>
      </c>
      <c r="C96" s="2">
        <v>6800</v>
      </c>
      <c r="D96" t="s">
        <v>57</v>
      </c>
      <c r="E96">
        <v>18.5</v>
      </c>
      <c r="F96">
        <v>4.2</v>
      </c>
      <c r="G96">
        <v>0.45</v>
      </c>
      <c r="H96" s="1">
        <v>3.1E-2</v>
      </c>
      <c r="I96">
        <v>1.55</v>
      </c>
      <c r="J96" s="3">
        <v>25202</v>
      </c>
      <c r="K96">
        <v>28</v>
      </c>
      <c r="L96" s="3">
        <v>25244</v>
      </c>
      <c r="M96">
        <v>30.5</v>
      </c>
      <c r="N96" s="1">
        <v>8.9300000000000004E-2</v>
      </c>
      <c r="Q96">
        <v>2</v>
      </c>
      <c r="R96" s="3">
        <v>25092</v>
      </c>
      <c r="S96" s="3">
        <v>25317</v>
      </c>
    </row>
    <row r="97" spans="1:19" x14ac:dyDescent="0.2">
      <c r="A97">
        <v>96</v>
      </c>
      <c r="B97" t="s">
        <v>137</v>
      </c>
      <c r="C97" s="2">
        <v>6400</v>
      </c>
      <c r="D97" t="s">
        <v>57</v>
      </c>
      <c r="E97">
        <v>16.8</v>
      </c>
      <c r="F97">
        <v>2.85</v>
      </c>
      <c r="G97">
        <v>1.1000000000000001</v>
      </c>
      <c r="H97" s="1">
        <v>1.7999999999999999E-2</v>
      </c>
      <c r="I97">
        <v>0.85</v>
      </c>
      <c r="J97" s="3">
        <v>25202</v>
      </c>
      <c r="K97">
        <v>13.5</v>
      </c>
      <c r="L97" s="3">
        <v>25244</v>
      </c>
      <c r="M97">
        <v>14.1</v>
      </c>
      <c r="N97" s="1">
        <v>4.4400000000000002E-2</v>
      </c>
      <c r="Q97">
        <v>1</v>
      </c>
      <c r="R97" s="3">
        <v>24966</v>
      </c>
      <c r="S97" s="3">
        <v>25333</v>
      </c>
    </row>
    <row r="98" spans="1:19" x14ac:dyDescent="0.2">
      <c r="A98">
        <v>97</v>
      </c>
      <c r="B98" t="s">
        <v>138</v>
      </c>
      <c r="C98" s="2">
        <v>6100</v>
      </c>
      <c r="D98" t="s">
        <v>139</v>
      </c>
      <c r="E98">
        <v>14.2</v>
      </c>
      <c r="F98">
        <v>3.15</v>
      </c>
      <c r="G98">
        <v>0.55000000000000004</v>
      </c>
      <c r="H98" s="1">
        <v>5.1999999999999998E-2</v>
      </c>
      <c r="I98">
        <v>1.65</v>
      </c>
      <c r="J98" s="3">
        <v>25202</v>
      </c>
      <c r="K98">
        <v>24.5</v>
      </c>
      <c r="L98" s="3">
        <v>25244</v>
      </c>
      <c r="M98">
        <v>24.8</v>
      </c>
      <c r="N98" s="1">
        <v>1.2200000000000001E-2</v>
      </c>
      <c r="P98">
        <v>1</v>
      </c>
      <c r="Q98">
        <v>2</v>
      </c>
      <c r="R98" s="3">
        <v>25072</v>
      </c>
      <c r="S98" s="3">
        <v>25331</v>
      </c>
    </row>
    <row r="99" spans="1:19" x14ac:dyDescent="0.2">
      <c r="A99">
        <v>98</v>
      </c>
      <c r="B99" t="s">
        <v>140</v>
      </c>
      <c r="C99" s="2">
        <v>5800</v>
      </c>
      <c r="D99" t="s">
        <v>57</v>
      </c>
      <c r="E99">
        <v>32.4</v>
      </c>
      <c r="F99">
        <v>5.8</v>
      </c>
      <c r="G99">
        <v>0.2</v>
      </c>
      <c r="H99" s="1">
        <v>1.4999999999999999E-2</v>
      </c>
      <c r="I99">
        <v>0.28000000000000003</v>
      </c>
      <c r="J99" s="3">
        <v>25202</v>
      </c>
      <c r="K99">
        <v>9.1999999999999993</v>
      </c>
      <c r="L99" s="3">
        <v>25244</v>
      </c>
      <c r="M99">
        <v>9.5</v>
      </c>
      <c r="N99" s="1">
        <v>3.2599999999999997E-2</v>
      </c>
      <c r="Q99">
        <v>1</v>
      </c>
      <c r="R99" s="3">
        <v>24968</v>
      </c>
      <c r="S99" s="3">
        <v>25335</v>
      </c>
    </row>
    <row r="100" spans="1:19" x14ac:dyDescent="0.2">
      <c r="A100">
        <v>99</v>
      </c>
      <c r="B100" t="s">
        <v>141</v>
      </c>
      <c r="C100" s="2">
        <v>5500</v>
      </c>
      <c r="D100" t="s">
        <v>131</v>
      </c>
      <c r="E100">
        <v>24.8</v>
      </c>
      <c r="F100">
        <v>6.5</v>
      </c>
      <c r="G100">
        <v>0.35</v>
      </c>
      <c r="H100" s="1">
        <v>1.2E-2</v>
      </c>
      <c r="I100">
        <v>1.85</v>
      </c>
      <c r="J100" s="3">
        <v>25202</v>
      </c>
      <c r="K100">
        <v>45</v>
      </c>
      <c r="L100" s="3">
        <v>25244</v>
      </c>
      <c r="M100">
        <v>48.25</v>
      </c>
      <c r="N100" s="1">
        <v>7.22E-2</v>
      </c>
      <c r="Q100">
        <v>2</v>
      </c>
      <c r="R100" s="3">
        <v>25092</v>
      </c>
      <c r="S100" s="3">
        <v>25282</v>
      </c>
    </row>
    <row r="101" spans="1:19" x14ac:dyDescent="0.2">
      <c r="A101">
        <v>100</v>
      </c>
      <c r="B101" t="s">
        <v>142</v>
      </c>
      <c r="C101" s="2">
        <v>5200</v>
      </c>
      <c r="D101" t="s">
        <v>131</v>
      </c>
      <c r="E101">
        <v>26.5</v>
      </c>
      <c r="F101">
        <v>3.1</v>
      </c>
      <c r="G101">
        <v>0.85</v>
      </c>
      <c r="H101" s="1">
        <v>1.4E-2</v>
      </c>
      <c r="I101">
        <v>0.25</v>
      </c>
      <c r="J101" s="3">
        <v>25202</v>
      </c>
      <c r="K101">
        <v>6.85</v>
      </c>
      <c r="L101" s="3">
        <v>25244</v>
      </c>
      <c r="M101">
        <v>7.05</v>
      </c>
      <c r="N101" s="1">
        <v>2.92E-2</v>
      </c>
      <c r="Q101">
        <v>1</v>
      </c>
      <c r="R101" s="3">
        <v>24972</v>
      </c>
      <c r="S101" s="3">
        <v>25338</v>
      </c>
    </row>
  </sheetData>
  <autoFilter ref="A1:S101" xr:uid="{07F20F4B-6F45-4BA8-ABC2-F66FFE76525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8573-70C1-4B91-9DD2-89AFA20FDDDF}">
  <dimension ref="A1:F101"/>
  <sheetViews>
    <sheetView tabSelected="1" workbookViewId="0">
      <selection activeCell="G1" sqref="G1:G1048576"/>
    </sheetView>
  </sheetViews>
  <sheetFormatPr defaultRowHeight="14.25" x14ac:dyDescent="0.2"/>
  <cols>
    <col min="1" max="1" width="7.875" customWidth="1"/>
    <col min="3" max="3" width="21.875" style="4" customWidth="1"/>
    <col min="4" max="4" width="16.375" customWidth="1"/>
  </cols>
  <sheetData>
    <row r="1" spans="1:6" x14ac:dyDescent="0.2">
      <c r="A1" t="s">
        <v>143</v>
      </c>
      <c r="B1" t="str">
        <f>'SET100'!B1</f>
        <v>Symbol</v>
      </c>
      <c r="C1" s="4" t="str">
        <f>'SET100'!C1</f>
        <v>Market Cap (ล้านบาท)</v>
      </c>
      <c r="D1" t="str">
        <f>'SET100'!D1</f>
        <v>กลุ่มอุตสาหกรรม</v>
      </c>
      <c r="E1" t="str">
        <f>'SET100'!O1</f>
        <v>SET50</v>
      </c>
      <c r="F1" t="str">
        <f>'SET100'!P1</f>
        <v>SETHD</v>
      </c>
    </row>
    <row r="2" spans="1:6" x14ac:dyDescent="0.2">
      <c r="A2">
        <f>'SET100'!A2</f>
        <v>1</v>
      </c>
      <c r="B2" t="str">
        <f>'SET100'!B2</f>
        <v>DELTA</v>
      </c>
      <c r="C2" s="4">
        <f>'SET100'!C2</f>
        <v>1215000</v>
      </c>
      <c r="D2" t="str">
        <f>'SET100'!D2</f>
        <v>อิเล็กทรอนิกส์</v>
      </c>
      <c r="E2">
        <f>'SET100'!O2</f>
        <v>1</v>
      </c>
      <c r="F2">
        <f>'SET100'!P2</f>
        <v>0</v>
      </c>
    </row>
    <row r="3" spans="1:6" x14ac:dyDescent="0.2">
      <c r="A3">
        <f>'SET100'!A3</f>
        <v>2</v>
      </c>
      <c r="B3" t="str">
        <f>'SET100'!B3</f>
        <v>PTT</v>
      </c>
      <c r="C3" s="4">
        <f>'SET100'!C3</f>
        <v>971000</v>
      </c>
      <c r="D3" t="str">
        <f>'SET100'!D3</f>
        <v>พลังงาน</v>
      </c>
      <c r="E3">
        <f>'SET100'!O3</f>
        <v>1</v>
      </c>
      <c r="F3">
        <f>'SET100'!P3</f>
        <v>1</v>
      </c>
    </row>
    <row r="4" spans="1:6" x14ac:dyDescent="0.2">
      <c r="A4">
        <f>'SET100'!A4</f>
        <v>3</v>
      </c>
      <c r="B4" t="str">
        <f>'SET100'!B4</f>
        <v>AOT</v>
      </c>
      <c r="C4" s="4">
        <f>'SET100'!C4</f>
        <v>878000</v>
      </c>
      <c r="D4" t="str">
        <f>'SET100'!D4</f>
        <v>ขนส่ง</v>
      </c>
      <c r="E4">
        <f>'SET100'!O4</f>
        <v>1</v>
      </c>
      <c r="F4">
        <f>'SET100'!P4</f>
        <v>0</v>
      </c>
    </row>
    <row r="5" spans="1:6" x14ac:dyDescent="0.2">
      <c r="A5">
        <f>'SET100'!A5</f>
        <v>4</v>
      </c>
      <c r="B5" t="str">
        <f>'SET100'!B5</f>
        <v>ADVANC</v>
      </c>
      <c r="C5" s="4">
        <f>'SET100'!C5</f>
        <v>728000</v>
      </c>
      <c r="D5" t="str">
        <f>'SET100'!D5</f>
        <v>ICT</v>
      </c>
      <c r="E5">
        <f>'SET100'!O5</f>
        <v>1</v>
      </c>
      <c r="F5">
        <f>'SET100'!P5</f>
        <v>1</v>
      </c>
    </row>
    <row r="6" spans="1:6" x14ac:dyDescent="0.2">
      <c r="A6">
        <f>'SET100'!A6</f>
        <v>5</v>
      </c>
      <c r="B6" t="str">
        <f>'SET100'!B6</f>
        <v>GULF</v>
      </c>
      <c r="C6" s="4">
        <f>'SET100'!C6</f>
        <v>639000</v>
      </c>
      <c r="D6" t="str">
        <f>'SET100'!D6</f>
        <v>พลังงาน</v>
      </c>
      <c r="E6">
        <f>'SET100'!O6</f>
        <v>1</v>
      </c>
      <c r="F6">
        <f>'SET100'!P6</f>
        <v>0</v>
      </c>
    </row>
    <row r="7" spans="1:6" x14ac:dyDescent="0.2">
      <c r="A7">
        <f>'SET100'!A7</f>
        <v>6</v>
      </c>
      <c r="B7" t="str">
        <f>'SET100'!B7</f>
        <v>PTTEP</v>
      </c>
      <c r="C7" s="4">
        <f>'SET100'!C7</f>
        <v>601000</v>
      </c>
      <c r="D7" t="str">
        <f>'SET100'!D7</f>
        <v>พลังงาน</v>
      </c>
      <c r="E7">
        <f>'SET100'!O7</f>
        <v>1</v>
      </c>
      <c r="F7">
        <f>'SET100'!P7</f>
        <v>1</v>
      </c>
    </row>
    <row r="8" spans="1:6" x14ac:dyDescent="0.2">
      <c r="A8">
        <f>'SET100'!A8</f>
        <v>7</v>
      </c>
      <c r="B8" t="str">
        <f>'SET100'!B8</f>
        <v>CPALL</v>
      </c>
      <c r="C8" s="4">
        <f>'SET100'!C8</f>
        <v>583000</v>
      </c>
      <c r="D8" t="str">
        <f>'SET100'!D8</f>
        <v>พาณิชย์</v>
      </c>
      <c r="E8">
        <f>'SET100'!O8</f>
        <v>1</v>
      </c>
      <c r="F8">
        <f>'SET100'!P8</f>
        <v>0</v>
      </c>
    </row>
    <row r="9" spans="1:6" x14ac:dyDescent="0.2">
      <c r="A9">
        <f>'SET100'!A9</f>
        <v>8</v>
      </c>
      <c r="B9" t="str">
        <f>'SET100'!B9</f>
        <v>BDMS</v>
      </c>
      <c r="C9" s="4">
        <f>'SET100'!C9</f>
        <v>461000</v>
      </c>
      <c r="D9" t="str">
        <f>'SET100'!D9</f>
        <v>การแพทย์</v>
      </c>
      <c r="E9">
        <f>'SET100'!O9</f>
        <v>1</v>
      </c>
      <c r="F9">
        <f>'SET100'!P9</f>
        <v>0</v>
      </c>
    </row>
    <row r="10" spans="1:6" x14ac:dyDescent="0.2">
      <c r="A10">
        <f>'SET100'!A10</f>
        <v>9</v>
      </c>
      <c r="B10" t="str">
        <f>'SET100'!B10</f>
        <v>KBANK</v>
      </c>
      <c r="C10" s="4">
        <f>'SET100'!C10</f>
        <v>338000</v>
      </c>
      <c r="D10" t="str">
        <f>'SET100'!D10</f>
        <v>ธนาคาร</v>
      </c>
      <c r="E10">
        <f>'SET100'!O10</f>
        <v>1</v>
      </c>
      <c r="F10">
        <f>'SET100'!P10</f>
        <v>1</v>
      </c>
    </row>
    <row r="11" spans="1:6" x14ac:dyDescent="0.2">
      <c r="A11">
        <f>'SET100'!A11</f>
        <v>10</v>
      </c>
      <c r="B11" t="str">
        <f>'SET100'!B11</f>
        <v>BBL</v>
      </c>
      <c r="C11" s="4">
        <f>'SET100'!C11</f>
        <v>307000</v>
      </c>
      <c r="D11" t="str">
        <f>'SET100'!D11</f>
        <v>ธนาคาร</v>
      </c>
      <c r="E11">
        <f>'SET100'!O11</f>
        <v>1</v>
      </c>
      <c r="F11">
        <f>'SET100'!P11</f>
        <v>1</v>
      </c>
    </row>
    <row r="12" spans="1:6" x14ac:dyDescent="0.2">
      <c r="A12">
        <f>'SET100'!A12</f>
        <v>11</v>
      </c>
      <c r="B12" t="str">
        <f>'SET100'!B12</f>
        <v>SCB</v>
      </c>
      <c r="C12" s="4">
        <f>'SET100'!C12</f>
        <v>289000</v>
      </c>
      <c r="D12" t="str">
        <f>'SET100'!D12</f>
        <v>ธนาคาร</v>
      </c>
      <c r="E12">
        <f>'SET100'!O12</f>
        <v>1</v>
      </c>
      <c r="F12">
        <f>'SET100'!P12</f>
        <v>1</v>
      </c>
    </row>
    <row r="13" spans="1:6" x14ac:dyDescent="0.2">
      <c r="A13">
        <f>'SET100'!A13</f>
        <v>12</v>
      </c>
      <c r="B13" t="str">
        <f>'SET100'!B13</f>
        <v>SCC</v>
      </c>
      <c r="C13" s="4">
        <f>'SET100'!C13</f>
        <v>272000</v>
      </c>
      <c r="D13" t="str">
        <f>'SET100'!D13</f>
        <v>วัสดุก่อสร้าง</v>
      </c>
      <c r="E13">
        <f>'SET100'!O13</f>
        <v>1</v>
      </c>
      <c r="F13">
        <f>'SET100'!P13</f>
        <v>1</v>
      </c>
    </row>
    <row r="14" spans="1:6" x14ac:dyDescent="0.2">
      <c r="A14">
        <f>'SET100'!A14</f>
        <v>13</v>
      </c>
      <c r="B14" t="str">
        <f>'SET100'!B14</f>
        <v>CPAXT</v>
      </c>
      <c r="C14" s="4">
        <f>'SET100'!C14</f>
        <v>271000</v>
      </c>
      <c r="D14" t="str">
        <f>'SET100'!D14</f>
        <v>พาณิชย์</v>
      </c>
      <c r="E14">
        <f>'SET100'!O14</f>
        <v>1</v>
      </c>
      <c r="F14">
        <f>'SET100'!P14</f>
        <v>0</v>
      </c>
    </row>
    <row r="15" spans="1:6" x14ac:dyDescent="0.2">
      <c r="A15">
        <f>'SET100'!A15</f>
        <v>14</v>
      </c>
      <c r="B15" t="str">
        <f>'SET100'!B15</f>
        <v>KTB</v>
      </c>
      <c r="C15" s="4">
        <f>'SET100'!C15</f>
        <v>262000</v>
      </c>
      <c r="D15" t="str">
        <f>'SET100'!D15</f>
        <v>ธนาคาร</v>
      </c>
      <c r="E15">
        <f>'SET100'!O15</f>
        <v>1</v>
      </c>
      <c r="F15">
        <f>'SET100'!P15</f>
        <v>1</v>
      </c>
    </row>
    <row r="16" spans="1:6" x14ac:dyDescent="0.2">
      <c r="A16">
        <f>'SET100'!A16</f>
        <v>15</v>
      </c>
      <c r="B16" t="b">
        <f>'SET100'!B16</f>
        <v>1</v>
      </c>
      <c r="C16" s="4">
        <f>'SET100'!C16</f>
        <v>243000</v>
      </c>
      <c r="D16" t="str">
        <f>'SET100'!D16</f>
        <v>ICT</v>
      </c>
      <c r="E16">
        <f>'SET100'!O16</f>
        <v>1</v>
      </c>
      <c r="F16">
        <f>'SET100'!P16</f>
        <v>0</v>
      </c>
    </row>
    <row r="17" spans="1:6" x14ac:dyDescent="0.2">
      <c r="A17">
        <f>'SET100'!A17</f>
        <v>16</v>
      </c>
      <c r="B17" t="str">
        <f>'SET100'!B17</f>
        <v>CPN</v>
      </c>
      <c r="C17" s="4">
        <f>'SET100'!C17</f>
        <v>226000</v>
      </c>
      <c r="D17" t="str">
        <f>'SET100'!D17</f>
        <v>อสังหาฯ</v>
      </c>
      <c r="E17">
        <f>'SET100'!O17</f>
        <v>1</v>
      </c>
      <c r="F17">
        <f>'SET100'!P17</f>
        <v>0</v>
      </c>
    </row>
    <row r="18" spans="1:6" x14ac:dyDescent="0.2">
      <c r="A18">
        <f>'SET100'!A18</f>
        <v>17</v>
      </c>
      <c r="B18" t="str">
        <f>'SET100'!B18</f>
        <v>BH</v>
      </c>
      <c r="C18" s="4">
        <f>'SET100'!C18</f>
        <v>167000</v>
      </c>
      <c r="D18" t="str">
        <f>'SET100'!D18</f>
        <v>การแพทย์</v>
      </c>
      <c r="E18">
        <f>'SET100'!O18</f>
        <v>1</v>
      </c>
      <c r="F18">
        <f>'SET100'!P18</f>
        <v>0</v>
      </c>
    </row>
    <row r="19" spans="1:6" x14ac:dyDescent="0.2">
      <c r="A19">
        <f>'SET100'!A19</f>
        <v>18</v>
      </c>
      <c r="B19" t="str">
        <f>'SET100'!B19</f>
        <v>TOP</v>
      </c>
      <c r="C19" s="4">
        <f>'SET100'!C19</f>
        <v>142000</v>
      </c>
      <c r="D19" t="str">
        <f>'SET100'!D19</f>
        <v>พลังงาน</v>
      </c>
      <c r="E19">
        <f>'SET100'!O19</f>
        <v>1</v>
      </c>
      <c r="F19">
        <f>'SET100'!P19</f>
        <v>1</v>
      </c>
    </row>
    <row r="20" spans="1:6" x14ac:dyDescent="0.2">
      <c r="A20">
        <f>'SET100'!A20</f>
        <v>19</v>
      </c>
      <c r="B20" t="str">
        <f>'SET100'!B20</f>
        <v>IVL</v>
      </c>
      <c r="C20" s="4">
        <f>'SET100'!C20</f>
        <v>126000</v>
      </c>
      <c r="D20" t="str">
        <f>'SET100'!D20</f>
        <v>ปิโตรเคมี</v>
      </c>
      <c r="E20">
        <f>'SET100'!O20</f>
        <v>1</v>
      </c>
      <c r="F20">
        <f>'SET100'!P20</f>
        <v>1</v>
      </c>
    </row>
    <row r="21" spans="1:6" x14ac:dyDescent="0.2">
      <c r="A21">
        <f>'SET100'!A21</f>
        <v>20</v>
      </c>
      <c r="B21" t="str">
        <f>'SET100'!B21</f>
        <v>TTB</v>
      </c>
      <c r="C21" s="4">
        <f>'SET100'!C21</f>
        <v>139000</v>
      </c>
      <c r="D21" t="str">
        <f>'SET100'!D21</f>
        <v>ธนาคาร</v>
      </c>
      <c r="E21">
        <f>'SET100'!O21</f>
        <v>1</v>
      </c>
      <c r="F21">
        <f>'SET100'!P21</f>
        <v>1</v>
      </c>
    </row>
    <row r="22" spans="1:6" x14ac:dyDescent="0.2">
      <c r="A22">
        <f>'SET100'!A22</f>
        <v>21</v>
      </c>
      <c r="B22" t="str">
        <f>'SET100'!B22</f>
        <v>OR</v>
      </c>
      <c r="C22" s="4">
        <f>'SET100'!C22</f>
        <v>133000</v>
      </c>
      <c r="D22" t="str">
        <f>'SET100'!D22</f>
        <v>พลังงาน</v>
      </c>
      <c r="E22">
        <f>'SET100'!O22</f>
        <v>1</v>
      </c>
      <c r="F22">
        <f>'SET100'!P22</f>
        <v>0</v>
      </c>
    </row>
    <row r="23" spans="1:6" x14ac:dyDescent="0.2">
      <c r="A23">
        <f>'SET100'!A23</f>
        <v>22</v>
      </c>
      <c r="B23" t="str">
        <f>'SET100'!B23</f>
        <v>HMPRO</v>
      </c>
      <c r="C23" s="4">
        <f>'SET100'!C23</f>
        <v>128000</v>
      </c>
      <c r="D23" t="str">
        <f>'SET100'!D23</f>
        <v>พาณิชย์</v>
      </c>
      <c r="E23">
        <f>'SET100'!O23</f>
        <v>1</v>
      </c>
      <c r="F23">
        <f>'SET100'!P23</f>
        <v>1</v>
      </c>
    </row>
    <row r="24" spans="1:6" x14ac:dyDescent="0.2">
      <c r="A24">
        <f>'SET100'!A24</f>
        <v>23</v>
      </c>
      <c r="B24" t="str">
        <f>'SET100'!B24</f>
        <v>CPF</v>
      </c>
      <c r="C24" s="4">
        <f>'SET100'!C24</f>
        <v>118000</v>
      </c>
      <c r="D24" t="str">
        <f>'SET100'!D24</f>
        <v>อาหาร</v>
      </c>
      <c r="E24">
        <f>'SET100'!O24</f>
        <v>1</v>
      </c>
      <c r="F24">
        <f>'SET100'!P24</f>
        <v>0</v>
      </c>
    </row>
    <row r="25" spans="1:6" x14ac:dyDescent="0.2">
      <c r="A25">
        <f>'SET100'!A25</f>
        <v>24</v>
      </c>
      <c r="B25" t="str">
        <f>'SET100'!B25</f>
        <v>BCP</v>
      </c>
      <c r="C25" s="4">
        <f>'SET100'!C25</f>
        <v>112000</v>
      </c>
      <c r="D25" t="str">
        <f>'SET100'!D25</f>
        <v>พลังงาน</v>
      </c>
      <c r="E25">
        <f>'SET100'!O25</f>
        <v>1</v>
      </c>
      <c r="F25">
        <f>'SET100'!P25</f>
        <v>1</v>
      </c>
    </row>
    <row r="26" spans="1:6" x14ac:dyDescent="0.2">
      <c r="A26">
        <f>'SET100'!A26</f>
        <v>25</v>
      </c>
      <c r="B26" t="str">
        <f>'SET100'!B26</f>
        <v>GPSC</v>
      </c>
      <c r="C26" s="4">
        <f>'SET100'!C26</f>
        <v>108000</v>
      </c>
      <c r="D26" t="str">
        <f>'SET100'!D26</f>
        <v>พลังงาน</v>
      </c>
      <c r="E26">
        <f>'SET100'!O26</f>
        <v>1</v>
      </c>
      <c r="F26">
        <f>'SET100'!P26</f>
        <v>0</v>
      </c>
    </row>
    <row r="27" spans="1:6" x14ac:dyDescent="0.2">
      <c r="A27">
        <f>'SET100'!A27</f>
        <v>26</v>
      </c>
      <c r="B27" t="str">
        <f>'SET100'!B27</f>
        <v>WHA</v>
      </c>
      <c r="C27" s="4">
        <f>'SET100'!C27</f>
        <v>103000</v>
      </c>
      <c r="D27" t="str">
        <f>'SET100'!D27</f>
        <v>อสังหาฯ</v>
      </c>
      <c r="E27">
        <f>'SET100'!O27</f>
        <v>1</v>
      </c>
      <c r="F27">
        <f>'SET100'!P27</f>
        <v>1</v>
      </c>
    </row>
    <row r="28" spans="1:6" x14ac:dyDescent="0.2">
      <c r="A28">
        <f>'SET100'!A28</f>
        <v>27</v>
      </c>
      <c r="B28" t="str">
        <f>'SET100'!B28</f>
        <v>LH</v>
      </c>
      <c r="C28" s="4">
        <f>'SET100'!C28</f>
        <v>98000</v>
      </c>
      <c r="D28" t="str">
        <f>'SET100'!D28</f>
        <v>อสังหาฯ</v>
      </c>
      <c r="E28">
        <f>'SET100'!O28</f>
        <v>1</v>
      </c>
      <c r="F28">
        <f>'SET100'!P28</f>
        <v>1</v>
      </c>
    </row>
    <row r="29" spans="1:6" x14ac:dyDescent="0.2">
      <c r="A29">
        <f>'SET100'!A29</f>
        <v>28</v>
      </c>
      <c r="B29" t="str">
        <f>'SET100'!B29</f>
        <v>SCGP</v>
      </c>
      <c r="C29" s="4">
        <f>'SET100'!C29</f>
        <v>90000</v>
      </c>
      <c r="D29" t="str">
        <f>'SET100'!D29</f>
        <v>บรรจุภัณฑ์</v>
      </c>
      <c r="E29">
        <f>'SET100'!O29</f>
        <v>1</v>
      </c>
      <c r="F29">
        <f>'SET100'!P29</f>
        <v>0</v>
      </c>
    </row>
    <row r="30" spans="1:6" x14ac:dyDescent="0.2">
      <c r="A30">
        <f>'SET100'!A30</f>
        <v>29</v>
      </c>
      <c r="B30" t="str">
        <f>'SET100'!B30</f>
        <v>KTC</v>
      </c>
      <c r="C30" s="4">
        <f>'SET100'!C30</f>
        <v>82000</v>
      </c>
      <c r="D30" t="str">
        <f>'SET100'!D30</f>
        <v>เงินทุน</v>
      </c>
      <c r="E30">
        <f>'SET100'!O30</f>
        <v>1</v>
      </c>
      <c r="F30">
        <f>'SET100'!P30</f>
        <v>0</v>
      </c>
    </row>
    <row r="31" spans="1:6" x14ac:dyDescent="0.2">
      <c r="A31">
        <f>'SET100'!A31</f>
        <v>30</v>
      </c>
      <c r="B31" t="str">
        <f>'SET100'!B31</f>
        <v>MTC</v>
      </c>
      <c r="C31" s="4">
        <f>'SET100'!C31</f>
        <v>80000</v>
      </c>
      <c r="D31" t="str">
        <f>'SET100'!D31</f>
        <v>เงินทุน</v>
      </c>
      <c r="E31">
        <f>'SET100'!O31</f>
        <v>1</v>
      </c>
      <c r="F31">
        <f>'SET100'!P31</f>
        <v>0</v>
      </c>
    </row>
    <row r="32" spans="1:6" x14ac:dyDescent="0.2">
      <c r="A32">
        <f>'SET100'!A32</f>
        <v>31</v>
      </c>
      <c r="B32" t="str">
        <f>'SET100'!B32</f>
        <v>TISCO</v>
      </c>
      <c r="C32" s="4">
        <f>'SET100'!C32</f>
        <v>71800</v>
      </c>
      <c r="D32" t="str">
        <f>'SET100'!D32</f>
        <v>ธนาคาร</v>
      </c>
      <c r="E32">
        <f>'SET100'!O32</f>
        <v>1</v>
      </c>
      <c r="F32">
        <f>'SET100'!P32</f>
        <v>1</v>
      </c>
    </row>
    <row r="33" spans="1:6" x14ac:dyDescent="0.2">
      <c r="A33">
        <f>'SET100'!A33</f>
        <v>32</v>
      </c>
      <c r="B33" t="str">
        <f>'SET100'!B33</f>
        <v>ITC</v>
      </c>
      <c r="C33" s="4">
        <f>'SET100'!C33</f>
        <v>70000</v>
      </c>
      <c r="D33" t="str">
        <f>'SET100'!D33</f>
        <v>อาหาร</v>
      </c>
      <c r="E33">
        <f>'SET100'!O33</f>
        <v>1</v>
      </c>
      <c r="F33">
        <f>'SET100'!P33</f>
        <v>0</v>
      </c>
    </row>
    <row r="34" spans="1:6" x14ac:dyDescent="0.2">
      <c r="A34">
        <f>'SET100'!A34</f>
        <v>33</v>
      </c>
      <c r="B34" t="str">
        <f>'SET100'!B34</f>
        <v>AWC</v>
      </c>
      <c r="C34" s="4">
        <f>'SET100'!C34</f>
        <v>68000</v>
      </c>
      <c r="D34" t="str">
        <f>'SET100'!D34</f>
        <v>อสังหาฯ</v>
      </c>
      <c r="E34">
        <f>'SET100'!O34</f>
        <v>1</v>
      </c>
      <c r="F34">
        <f>'SET100'!P34</f>
        <v>0</v>
      </c>
    </row>
    <row r="35" spans="1:6" x14ac:dyDescent="0.2">
      <c r="A35">
        <f>'SET100'!A35</f>
        <v>34</v>
      </c>
      <c r="B35" t="str">
        <f>'SET100'!B35</f>
        <v>SAWAD</v>
      </c>
      <c r="C35" s="4">
        <f>'SET100'!C35</f>
        <v>65000</v>
      </c>
      <c r="D35" t="str">
        <f>'SET100'!D35</f>
        <v>เงินทุน</v>
      </c>
      <c r="E35">
        <f>'SET100'!O35</f>
        <v>1</v>
      </c>
      <c r="F35">
        <f>'SET100'!P35</f>
        <v>1</v>
      </c>
    </row>
    <row r="36" spans="1:6" x14ac:dyDescent="0.2">
      <c r="A36">
        <f>'SET100'!A36</f>
        <v>35</v>
      </c>
      <c r="B36" t="str">
        <f>'SET100'!B36</f>
        <v>KCE</v>
      </c>
      <c r="C36" s="4">
        <f>'SET100'!C36</f>
        <v>62000</v>
      </c>
      <c r="D36" t="str">
        <f>'SET100'!D36</f>
        <v>อิเล็กฯ</v>
      </c>
      <c r="E36">
        <f>'SET100'!O36</f>
        <v>1</v>
      </c>
      <c r="F36">
        <f>'SET100'!P36</f>
        <v>0</v>
      </c>
    </row>
    <row r="37" spans="1:6" x14ac:dyDescent="0.2">
      <c r="A37">
        <f>'SET100'!A37</f>
        <v>36</v>
      </c>
      <c r="B37" t="str">
        <f>'SET100'!B37</f>
        <v>HANA</v>
      </c>
      <c r="C37" s="4">
        <f>'SET100'!C37</f>
        <v>60000</v>
      </c>
      <c r="D37" t="str">
        <f>'SET100'!D37</f>
        <v>อิเล็กฯ</v>
      </c>
      <c r="E37">
        <f>'SET100'!O37</f>
        <v>1</v>
      </c>
      <c r="F37">
        <f>'SET100'!P37</f>
        <v>1</v>
      </c>
    </row>
    <row r="38" spans="1:6" x14ac:dyDescent="0.2">
      <c r="A38">
        <f>'SET100'!A38</f>
        <v>37</v>
      </c>
      <c r="B38" t="str">
        <f>'SET100'!B38</f>
        <v>BGRIM</v>
      </c>
      <c r="C38" s="4">
        <f>'SET100'!C38</f>
        <v>58000</v>
      </c>
      <c r="D38" t="str">
        <f>'SET100'!D38</f>
        <v>พลังงาน</v>
      </c>
      <c r="E38">
        <f>'SET100'!O38</f>
        <v>1</v>
      </c>
      <c r="F38">
        <f>'SET100'!P38</f>
        <v>0</v>
      </c>
    </row>
    <row r="39" spans="1:6" x14ac:dyDescent="0.2">
      <c r="A39">
        <f>'SET100'!A39</f>
        <v>38</v>
      </c>
      <c r="B39" t="str">
        <f>'SET100'!B39</f>
        <v>EGCO</v>
      </c>
      <c r="C39" s="4">
        <f>'SET100'!C39</f>
        <v>54000</v>
      </c>
      <c r="D39" t="str">
        <f>'SET100'!D39</f>
        <v>พลังงาน</v>
      </c>
      <c r="E39">
        <f>'SET100'!O39</f>
        <v>1</v>
      </c>
      <c r="F39">
        <f>'SET100'!P39</f>
        <v>1</v>
      </c>
    </row>
    <row r="40" spans="1:6" x14ac:dyDescent="0.2">
      <c r="A40">
        <f>'SET100'!A40</f>
        <v>39</v>
      </c>
      <c r="B40" t="str">
        <f>'SET100'!B40</f>
        <v>RATCH</v>
      </c>
      <c r="C40" s="4">
        <f>'SET100'!C40</f>
        <v>51500</v>
      </c>
      <c r="D40" t="str">
        <f>'SET100'!D40</f>
        <v>พลังงาน</v>
      </c>
      <c r="E40">
        <f>'SET100'!O40</f>
        <v>1</v>
      </c>
      <c r="F40">
        <f>'SET100'!P40</f>
        <v>1</v>
      </c>
    </row>
    <row r="41" spans="1:6" x14ac:dyDescent="0.2">
      <c r="A41">
        <f>'SET100'!A41</f>
        <v>40</v>
      </c>
      <c r="B41" t="str">
        <f>'SET100'!B41</f>
        <v>CBG</v>
      </c>
      <c r="C41" s="4">
        <f>'SET100'!C41</f>
        <v>50000</v>
      </c>
      <c r="D41" t="str">
        <f>'SET100'!D41</f>
        <v>อาหาร</v>
      </c>
      <c r="E41">
        <f>'SET100'!O41</f>
        <v>1</v>
      </c>
      <c r="F41">
        <f>'SET100'!P41</f>
        <v>0</v>
      </c>
    </row>
    <row r="42" spans="1:6" x14ac:dyDescent="0.2">
      <c r="A42">
        <f>'SET100'!A42</f>
        <v>41</v>
      </c>
      <c r="B42" t="str">
        <f>'SET100'!B42</f>
        <v>OSP</v>
      </c>
      <c r="C42" s="4">
        <f>'SET100'!C42</f>
        <v>48000</v>
      </c>
      <c r="D42" t="str">
        <f>'SET100'!D42</f>
        <v>อาหาร</v>
      </c>
      <c r="E42">
        <f>'SET100'!O42</f>
        <v>1</v>
      </c>
      <c r="F42">
        <f>'SET100'!P42</f>
        <v>1</v>
      </c>
    </row>
    <row r="43" spans="1:6" x14ac:dyDescent="0.2">
      <c r="A43">
        <f>'SET100'!A43</f>
        <v>42</v>
      </c>
      <c r="B43" t="str">
        <f>'SET100'!B43</f>
        <v>COM7</v>
      </c>
      <c r="C43" s="4">
        <f>'SET100'!C43</f>
        <v>45000</v>
      </c>
      <c r="D43" t="str">
        <f>'SET100'!D43</f>
        <v>พาณิชย์</v>
      </c>
      <c r="E43">
        <f>'SET100'!O43</f>
        <v>1</v>
      </c>
      <c r="F43">
        <f>'SET100'!P43</f>
        <v>0</v>
      </c>
    </row>
    <row r="44" spans="1:6" x14ac:dyDescent="0.2">
      <c r="A44">
        <f>'SET100'!A44</f>
        <v>43</v>
      </c>
      <c r="B44" t="str">
        <f>'SET100'!B44</f>
        <v>SIRI</v>
      </c>
      <c r="C44" s="4">
        <f>'SET100'!C44</f>
        <v>42500</v>
      </c>
      <c r="D44" t="str">
        <f>'SET100'!D44</f>
        <v>อสังหาฯ</v>
      </c>
      <c r="E44">
        <f>'SET100'!O44</f>
        <v>1</v>
      </c>
      <c r="F44">
        <f>'SET100'!P44</f>
        <v>1</v>
      </c>
    </row>
    <row r="45" spans="1:6" x14ac:dyDescent="0.2">
      <c r="A45">
        <f>'SET100'!A45</f>
        <v>44</v>
      </c>
      <c r="B45" t="str">
        <f>'SET100'!B45</f>
        <v>GLOBAL</v>
      </c>
      <c r="C45" s="4">
        <f>'SET100'!C45</f>
        <v>40000</v>
      </c>
      <c r="D45" t="str">
        <f>'SET100'!D45</f>
        <v>พาณิชย์</v>
      </c>
      <c r="E45">
        <f>'SET100'!O45</f>
        <v>1</v>
      </c>
      <c r="F45">
        <f>'SET100'!P45</f>
        <v>0</v>
      </c>
    </row>
    <row r="46" spans="1:6" x14ac:dyDescent="0.2">
      <c r="A46">
        <f>'SET100'!A46</f>
        <v>45</v>
      </c>
      <c r="B46" t="str">
        <f>'SET100'!B46</f>
        <v>AP</v>
      </c>
      <c r="C46" s="4">
        <f>'SET100'!C46</f>
        <v>38200</v>
      </c>
      <c r="D46" t="str">
        <f>'SET100'!D46</f>
        <v>อสังหาฯ</v>
      </c>
      <c r="E46">
        <f>'SET100'!O46</f>
        <v>0</v>
      </c>
      <c r="F46">
        <f>'SET100'!P46</f>
        <v>1</v>
      </c>
    </row>
    <row r="47" spans="1:6" x14ac:dyDescent="0.2">
      <c r="A47">
        <f>'SET100'!A47</f>
        <v>46</v>
      </c>
      <c r="B47" t="str">
        <f>'SET100'!B47</f>
        <v>MEGA</v>
      </c>
      <c r="C47" s="4">
        <f>'SET100'!C47</f>
        <v>37000</v>
      </c>
      <c r="D47" t="str">
        <f>'SET100'!D47</f>
        <v>พาณิชย์</v>
      </c>
      <c r="E47">
        <f>'SET100'!O47</f>
        <v>0</v>
      </c>
      <c r="F47">
        <f>'SET100'!P47</f>
        <v>0</v>
      </c>
    </row>
    <row r="48" spans="1:6" x14ac:dyDescent="0.2">
      <c r="A48">
        <f>'SET100'!A48</f>
        <v>47</v>
      </c>
      <c r="B48" t="str">
        <f>'SET100'!B48</f>
        <v>KKP</v>
      </c>
      <c r="C48" s="4">
        <f>'SET100'!C48</f>
        <v>35500</v>
      </c>
      <c r="D48" t="str">
        <f>'SET100'!D48</f>
        <v>ธนาคาร</v>
      </c>
      <c r="E48">
        <f>'SET100'!O48</f>
        <v>0</v>
      </c>
      <c r="F48">
        <f>'SET100'!P48</f>
        <v>1</v>
      </c>
    </row>
    <row r="49" spans="1:6" x14ac:dyDescent="0.2">
      <c r="A49">
        <f>'SET100'!A49</f>
        <v>48</v>
      </c>
      <c r="B49" t="str">
        <f>'SET100'!B49</f>
        <v>AMATA</v>
      </c>
      <c r="C49" s="4">
        <f>'SET100'!C49</f>
        <v>35000</v>
      </c>
      <c r="D49" t="str">
        <f>'SET100'!D49</f>
        <v>อสังหาฯ</v>
      </c>
      <c r="E49">
        <f>'SET100'!O49</f>
        <v>1</v>
      </c>
      <c r="F49">
        <f>'SET100'!P49</f>
        <v>0</v>
      </c>
    </row>
    <row r="50" spans="1:6" x14ac:dyDescent="0.2">
      <c r="A50">
        <f>'SET100'!A50</f>
        <v>49</v>
      </c>
      <c r="B50" t="str">
        <f>'SET100'!B50</f>
        <v>BJC</v>
      </c>
      <c r="C50" s="4">
        <f>'SET100'!C50</f>
        <v>34500</v>
      </c>
      <c r="D50" t="str">
        <f>'SET100'!D50</f>
        <v>พาณิชย์</v>
      </c>
      <c r="E50">
        <f>'SET100'!O50</f>
        <v>0</v>
      </c>
      <c r="F50">
        <f>'SET100'!P50</f>
        <v>0</v>
      </c>
    </row>
    <row r="51" spans="1:6" x14ac:dyDescent="0.2">
      <c r="A51">
        <f>'SET100'!A51</f>
        <v>50</v>
      </c>
      <c r="B51" t="str">
        <f>'SET100'!B51</f>
        <v>SPALI</v>
      </c>
      <c r="C51" s="4">
        <f>'SET100'!C51</f>
        <v>33000</v>
      </c>
      <c r="D51" t="str">
        <f>'SET100'!D51</f>
        <v>อสังหาฯ</v>
      </c>
      <c r="E51">
        <f>'SET100'!O51</f>
        <v>0</v>
      </c>
      <c r="F51">
        <f>'SET100'!P51</f>
        <v>1</v>
      </c>
    </row>
    <row r="52" spans="1:6" x14ac:dyDescent="0.2">
      <c r="A52">
        <f>'SET100'!A52</f>
        <v>51</v>
      </c>
      <c r="B52" t="str">
        <f>'SET100'!B52</f>
        <v>JMT</v>
      </c>
      <c r="C52" s="4">
        <f>'SET100'!C52</f>
        <v>31000</v>
      </c>
      <c r="D52" t="str">
        <f>'SET100'!D52</f>
        <v>เงินทุน</v>
      </c>
      <c r="E52">
        <f>'SET100'!O52</f>
        <v>0</v>
      </c>
      <c r="F52">
        <f>'SET100'!P52</f>
        <v>0</v>
      </c>
    </row>
    <row r="53" spans="1:6" x14ac:dyDescent="0.2">
      <c r="A53">
        <f>'SET100'!A53</f>
        <v>52</v>
      </c>
      <c r="B53" t="str">
        <f>'SET100'!B53</f>
        <v>ICHI</v>
      </c>
      <c r="C53" s="4">
        <f>'SET100'!C53</f>
        <v>29800</v>
      </c>
      <c r="D53" t="str">
        <f>'SET100'!D53</f>
        <v>อาหาร</v>
      </c>
      <c r="E53">
        <f>'SET100'!O53</f>
        <v>0</v>
      </c>
      <c r="F53">
        <f>'SET100'!P53</f>
        <v>1</v>
      </c>
    </row>
    <row r="54" spans="1:6" x14ac:dyDescent="0.2">
      <c r="A54">
        <f>'SET100'!A54</f>
        <v>53</v>
      </c>
      <c r="B54" t="str">
        <f>'SET100'!B54</f>
        <v>BANPU</v>
      </c>
      <c r="C54" s="4">
        <f>'SET100'!C54</f>
        <v>29500</v>
      </c>
      <c r="D54" t="str">
        <f>'SET100'!D54</f>
        <v>พลังงาน</v>
      </c>
      <c r="E54">
        <f>'SET100'!O54</f>
        <v>1</v>
      </c>
      <c r="F54">
        <f>'SET100'!P54</f>
        <v>0</v>
      </c>
    </row>
    <row r="55" spans="1:6" x14ac:dyDescent="0.2">
      <c r="A55">
        <f>'SET100'!A55</f>
        <v>54</v>
      </c>
      <c r="B55" t="str">
        <f>'SET100'!B55</f>
        <v>BAM</v>
      </c>
      <c r="C55" s="4">
        <f>'SET100'!C55</f>
        <v>28000</v>
      </c>
      <c r="D55" t="str">
        <f>'SET100'!D55</f>
        <v>เงินทุน</v>
      </c>
      <c r="E55">
        <f>'SET100'!O55</f>
        <v>0</v>
      </c>
      <c r="F55">
        <f>'SET100'!P55</f>
        <v>0</v>
      </c>
    </row>
    <row r="56" spans="1:6" x14ac:dyDescent="0.2">
      <c r="A56">
        <f>'SET100'!A56</f>
        <v>55</v>
      </c>
      <c r="B56" t="str">
        <f>'SET100'!B56</f>
        <v>SAPPE</v>
      </c>
      <c r="C56" s="4">
        <f>'SET100'!C56</f>
        <v>27000</v>
      </c>
      <c r="D56" t="str">
        <f>'SET100'!D56</f>
        <v>อาหาร</v>
      </c>
      <c r="E56">
        <f>'SET100'!O56</f>
        <v>0</v>
      </c>
      <c r="F56">
        <f>'SET100'!P56</f>
        <v>0</v>
      </c>
    </row>
    <row r="57" spans="1:6" x14ac:dyDescent="0.2">
      <c r="A57">
        <f>'SET100'!A57</f>
        <v>56</v>
      </c>
      <c r="B57" t="str">
        <f>'SET100'!B57</f>
        <v>CHG</v>
      </c>
      <c r="C57" s="4">
        <f>'SET100'!C57</f>
        <v>25200</v>
      </c>
      <c r="D57" t="str">
        <f>'SET100'!D57</f>
        <v>การแพทย์</v>
      </c>
      <c r="E57">
        <f>'SET100'!O57</f>
        <v>0</v>
      </c>
      <c r="F57">
        <f>'SET100'!P57</f>
        <v>0</v>
      </c>
    </row>
    <row r="58" spans="1:6" x14ac:dyDescent="0.2">
      <c r="A58">
        <f>'SET100'!A58</f>
        <v>57</v>
      </c>
      <c r="B58" t="str">
        <f>'SET100'!B58</f>
        <v>BCH</v>
      </c>
      <c r="C58" s="4">
        <f>'SET100'!C58</f>
        <v>24800</v>
      </c>
      <c r="D58" t="str">
        <f>'SET100'!D58</f>
        <v>การแพทย์</v>
      </c>
      <c r="E58">
        <f>'SET100'!O58</f>
        <v>0</v>
      </c>
      <c r="F58">
        <f>'SET100'!P58</f>
        <v>0</v>
      </c>
    </row>
    <row r="59" spans="1:6" x14ac:dyDescent="0.2">
      <c r="A59">
        <f>'SET100'!A59</f>
        <v>58</v>
      </c>
      <c r="B59" t="str">
        <f>'SET100'!B59</f>
        <v>BPP</v>
      </c>
      <c r="C59" s="4">
        <f>'SET100'!C59</f>
        <v>24500</v>
      </c>
      <c r="D59" t="str">
        <f>'SET100'!D59</f>
        <v>พลังงาน</v>
      </c>
      <c r="E59">
        <f>'SET100'!O59</f>
        <v>0</v>
      </c>
      <c r="F59">
        <f>'SET100'!P59</f>
        <v>1</v>
      </c>
    </row>
    <row r="60" spans="1:6" x14ac:dyDescent="0.2">
      <c r="A60">
        <f>'SET100'!A60</f>
        <v>59</v>
      </c>
      <c r="B60" t="str">
        <f>'SET100'!B60</f>
        <v>ORI</v>
      </c>
      <c r="C60" s="4">
        <f>'SET100'!C60</f>
        <v>23800</v>
      </c>
      <c r="D60" t="str">
        <f>'SET100'!D60</f>
        <v>อสังหาฯ</v>
      </c>
      <c r="E60">
        <f>'SET100'!O60</f>
        <v>0</v>
      </c>
      <c r="F60">
        <f>'SET100'!P60</f>
        <v>1</v>
      </c>
    </row>
    <row r="61" spans="1:6" x14ac:dyDescent="0.2">
      <c r="A61">
        <f>'SET100'!A61</f>
        <v>60</v>
      </c>
      <c r="B61" t="str">
        <f>'SET100'!B61</f>
        <v>QH</v>
      </c>
      <c r="C61" s="4">
        <f>'SET100'!C61</f>
        <v>23200</v>
      </c>
      <c r="D61" t="str">
        <f>'SET100'!D61</f>
        <v>อสังหาฯ</v>
      </c>
      <c r="E61">
        <f>'SET100'!O61</f>
        <v>0</v>
      </c>
      <c r="F61">
        <f>'SET100'!P61</f>
        <v>1</v>
      </c>
    </row>
    <row r="62" spans="1:6" x14ac:dyDescent="0.2">
      <c r="A62">
        <f>'SET100'!A62</f>
        <v>61</v>
      </c>
      <c r="B62" t="str">
        <f>'SET100'!B62</f>
        <v>STA</v>
      </c>
      <c r="C62" s="4">
        <f>'SET100'!C62</f>
        <v>22800</v>
      </c>
      <c r="D62" t="str">
        <f>'SET100'!D62</f>
        <v>เกษตร</v>
      </c>
      <c r="E62">
        <f>'SET100'!O62</f>
        <v>0</v>
      </c>
      <c r="F62">
        <f>'SET100'!P62</f>
        <v>0</v>
      </c>
    </row>
    <row r="63" spans="1:6" x14ac:dyDescent="0.2">
      <c r="A63">
        <f>'SET100'!A63</f>
        <v>62</v>
      </c>
      <c r="B63" t="str">
        <f>'SET100'!B63</f>
        <v>DOHOME</v>
      </c>
      <c r="C63" s="4">
        <f>'SET100'!C63</f>
        <v>22100</v>
      </c>
      <c r="D63" t="str">
        <f>'SET100'!D63</f>
        <v>พาณิชย์</v>
      </c>
      <c r="E63">
        <f>'SET100'!O63</f>
        <v>0</v>
      </c>
      <c r="F63">
        <f>'SET100'!P63</f>
        <v>0</v>
      </c>
    </row>
    <row r="64" spans="1:6" x14ac:dyDescent="0.2">
      <c r="A64">
        <f>'SET100'!A64</f>
        <v>63</v>
      </c>
      <c r="B64" t="str">
        <f>'SET100'!B64</f>
        <v>TCAP</v>
      </c>
      <c r="C64" s="4">
        <f>'SET100'!C64</f>
        <v>21800</v>
      </c>
      <c r="D64" t="str">
        <f>'SET100'!D64</f>
        <v>เงินทุน</v>
      </c>
      <c r="E64">
        <f>'SET100'!O64</f>
        <v>0</v>
      </c>
      <c r="F64">
        <f>'SET100'!P64</f>
        <v>1</v>
      </c>
    </row>
    <row r="65" spans="1:6" x14ac:dyDescent="0.2">
      <c r="A65">
        <f>'SET100'!A65</f>
        <v>64</v>
      </c>
      <c r="B65" t="str">
        <f>'SET100'!B65</f>
        <v>PRM</v>
      </c>
      <c r="C65" s="4">
        <f>'SET100'!C65</f>
        <v>21200</v>
      </c>
      <c r="D65" t="str">
        <f>'SET100'!D65</f>
        <v>ขนส่ง</v>
      </c>
      <c r="E65">
        <f>'SET100'!O65</f>
        <v>0</v>
      </c>
      <c r="F65">
        <f>'SET100'!P65</f>
        <v>0</v>
      </c>
    </row>
    <row r="66" spans="1:6" x14ac:dyDescent="0.2">
      <c r="A66">
        <f>'SET100'!A66</f>
        <v>65</v>
      </c>
      <c r="B66" t="str">
        <f>'SET100'!B66</f>
        <v>RCL</v>
      </c>
      <c r="C66" s="4">
        <f>'SET100'!C66</f>
        <v>20900</v>
      </c>
      <c r="D66" t="str">
        <f>'SET100'!D66</f>
        <v>ขนส่ง</v>
      </c>
      <c r="E66">
        <f>'SET100'!O66</f>
        <v>0</v>
      </c>
      <c r="F66">
        <f>'SET100'!P66</f>
        <v>1</v>
      </c>
    </row>
    <row r="67" spans="1:6" x14ac:dyDescent="0.2">
      <c r="A67">
        <f>'SET100'!A67</f>
        <v>66</v>
      </c>
      <c r="B67" t="str">
        <f>'SET100'!B67</f>
        <v>BCPG</v>
      </c>
      <c r="C67" s="4">
        <f>'SET100'!C67</f>
        <v>20400</v>
      </c>
      <c r="D67" t="str">
        <f>'SET100'!D67</f>
        <v>พลังงาน</v>
      </c>
      <c r="E67">
        <f>'SET100'!O67</f>
        <v>0</v>
      </c>
      <c r="F67">
        <f>'SET100'!P67</f>
        <v>0</v>
      </c>
    </row>
    <row r="68" spans="1:6" x14ac:dyDescent="0.2">
      <c r="A68">
        <f>'SET100'!A68</f>
        <v>67</v>
      </c>
      <c r="B68" t="str">
        <f>'SET100'!B68</f>
        <v>GUNKUL</v>
      </c>
      <c r="C68" s="4">
        <f>'SET100'!C68</f>
        <v>19800</v>
      </c>
      <c r="D68" t="str">
        <f>'SET100'!D68</f>
        <v>พลังงาน</v>
      </c>
      <c r="E68">
        <f>'SET100'!O68</f>
        <v>0</v>
      </c>
      <c r="F68">
        <f>'SET100'!P68</f>
        <v>0</v>
      </c>
    </row>
    <row r="69" spans="1:6" x14ac:dyDescent="0.2">
      <c r="A69">
        <f>'SET100'!A69</f>
        <v>68</v>
      </c>
      <c r="B69" t="str">
        <f>'SET100'!B69</f>
        <v>JMART</v>
      </c>
      <c r="C69" s="4">
        <f>'SET100'!C69</f>
        <v>19200</v>
      </c>
      <c r="D69" t="str">
        <f>'SET100'!D69</f>
        <v>เงินทุน</v>
      </c>
      <c r="E69">
        <f>'SET100'!O69</f>
        <v>0</v>
      </c>
      <c r="F69">
        <f>'SET100'!P69</f>
        <v>0</v>
      </c>
    </row>
    <row r="70" spans="1:6" x14ac:dyDescent="0.2">
      <c r="A70">
        <f>'SET100'!A70</f>
        <v>69</v>
      </c>
      <c r="B70" t="str">
        <f>'SET100'!B70</f>
        <v>PTG</v>
      </c>
      <c r="C70" s="4">
        <f>'SET100'!C70</f>
        <v>18800</v>
      </c>
      <c r="D70" t="str">
        <f>'SET100'!D70</f>
        <v>พลังงาน</v>
      </c>
      <c r="E70">
        <f>'SET100'!O70</f>
        <v>0</v>
      </c>
      <c r="F70">
        <f>'SET100'!P70</f>
        <v>0</v>
      </c>
    </row>
    <row r="71" spans="1:6" x14ac:dyDescent="0.2">
      <c r="A71">
        <f>'SET100'!A71</f>
        <v>70</v>
      </c>
      <c r="B71" t="str">
        <f>'SET100'!B71</f>
        <v>SC</v>
      </c>
      <c r="C71" s="4">
        <f>'SET100'!C71</f>
        <v>18200</v>
      </c>
      <c r="D71" t="str">
        <f>'SET100'!D71</f>
        <v>อสังหาฯ</v>
      </c>
      <c r="E71">
        <f>'SET100'!O71</f>
        <v>0</v>
      </c>
      <c r="F71">
        <f>'SET100'!P71</f>
        <v>1</v>
      </c>
    </row>
    <row r="72" spans="1:6" x14ac:dyDescent="0.2">
      <c r="A72">
        <f>'SET100'!A72</f>
        <v>71</v>
      </c>
      <c r="B72" t="str">
        <f>'SET100'!B72</f>
        <v>PR9</v>
      </c>
      <c r="C72" s="4">
        <f>'SET100'!C72</f>
        <v>17900</v>
      </c>
      <c r="D72" t="str">
        <f>'SET100'!D72</f>
        <v>การแพทย์</v>
      </c>
      <c r="E72">
        <f>'SET100'!O72</f>
        <v>0</v>
      </c>
      <c r="F72">
        <f>'SET100'!P72</f>
        <v>0</v>
      </c>
    </row>
    <row r="73" spans="1:6" x14ac:dyDescent="0.2">
      <c r="A73">
        <f>'SET100'!A73</f>
        <v>72</v>
      </c>
      <c r="B73" t="str">
        <f>'SET100'!B73</f>
        <v>AEONTS</v>
      </c>
      <c r="C73" s="4">
        <f>'SET100'!C73</f>
        <v>17400</v>
      </c>
      <c r="D73" t="str">
        <f>'SET100'!D73</f>
        <v>เงินทุน</v>
      </c>
      <c r="E73">
        <f>'SET100'!O73</f>
        <v>0</v>
      </c>
      <c r="F73">
        <f>'SET100'!P73</f>
        <v>0</v>
      </c>
    </row>
    <row r="74" spans="1:6" x14ac:dyDescent="0.2">
      <c r="A74">
        <f>'SET100'!A74</f>
        <v>73</v>
      </c>
      <c r="B74" t="str">
        <f>'SET100'!B74</f>
        <v>ASK</v>
      </c>
      <c r="C74" s="4">
        <f>'SET100'!C74</f>
        <v>16800</v>
      </c>
      <c r="D74" t="str">
        <f>'SET100'!D74</f>
        <v>เงินทุน</v>
      </c>
      <c r="E74">
        <f>'SET100'!O74</f>
        <v>0</v>
      </c>
      <c r="F74">
        <f>'SET100'!P74</f>
        <v>0</v>
      </c>
    </row>
    <row r="75" spans="1:6" x14ac:dyDescent="0.2">
      <c r="A75">
        <f>'SET100'!A75</f>
        <v>74</v>
      </c>
      <c r="B75" t="str">
        <f>'SET100'!B75</f>
        <v>BLA</v>
      </c>
      <c r="C75" s="4">
        <f>'SET100'!C75</f>
        <v>16500</v>
      </c>
      <c r="D75" t="str">
        <f>'SET100'!D75</f>
        <v>ประกัน</v>
      </c>
      <c r="E75">
        <f>'SET100'!O75</f>
        <v>0</v>
      </c>
      <c r="F75">
        <f>'SET100'!P75</f>
        <v>0</v>
      </c>
    </row>
    <row r="76" spans="1:6" x14ac:dyDescent="0.2">
      <c r="A76">
        <f>'SET100'!A76</f>
        <v>75</v>
      </c>
      <c r="B76" t="str">
        <f>'SET100'!B76</f>
        <v>TLI</v>
      </c>
      <c r="C76" s="4">
        <f>'SET100'!C76</f>
        <v>16200</v>
      </c>
      <c r="D76" t="str">
        <f>'SET100'!D76</f>
        <v>ประกัน</v>
      </c>
      <c r="E76">
        <f>'SET100'!O76</f>
        <v>0</v>
      </c>
      <c r="F76">
        <f>'SET100'!P76</f>
        <v>0</v>
      </c>
    </row>
    <row r="77" spans="1:6" x14ac:dyDescent="0.2">
      <c r="A77">
        <f>'SET100'!A77</f>
        <v>76</v>
      </c>
      <c r="B77" t="str">
        <f>'SET100'!B77</f>
        <v>STGT</v>
      </c>
      <c r="C77" s="4">
        <f>'SET100'!C77</f>
        <v>15800</v>
      </c>
      <c r="D77" t="str">
        <f>'SET100'!D77</f>
        <v>เกษตร</v>
      </c>
      <c r="E77">
        <f>'SET100'!O77</f>
        <v>0</v>
      </c>
      <c r="F77">
        <f>'SET100'!P77</f>
        <v>0</v>
      </c>
    </row>
    <row r="78" spans="1:6" x14ac:dyDescent="0.2">
      <c r="A78">
        <f>'SET100'!A78</f>
        <v>77</v>
      </c>
      <c r="B78" t="str">
        <f>'SET100'!B78</f>
        <v>SJWD</v>
      </c>
      <c r="C78" s="4">
        <f>'SET100'!C78</f>
        <v>15200</v>
      </c>
      <c r="D78" t="str">
        <f>'SET100'!D78</f>
        <v>ขนส่ง</v>
      </c>
      <c r="E78">
        <f>'SET100'!O78</f>
        <v>0</v>
      </c>
      <c r="F78">
        <f>'SET100'!P78</f>
        <v>0</v>
      </c>
    </row>
    <row r="79" spans="1:6" x14ac:dyDescent="0.2">
      <c r="A79">
        <f>'SET100'!A79</f>
        <v>80</v>
      </c>
      <c r="B79" t="str">
        <f>'SET100'!B79</f>
        <v>TASCO</v>
      </c>
      <c r="C79" s="4">
        <f>'SET100'!C79</f>
        <v>14800</v>
      </c>
      <c r="D79" t="str">
        <f>'SET100'!D79</f>
        <v>วัสดุฯ</v>
      </c>
      <c r="E79">
        <f>'SET100'!O79</f>
        <v>0</v>
      </c>
      <c r="F79">
        <f>'SET100'!P79</f>
        <v>1</v>
      </c>
    </row>
    <row r="80" spans="1:6" x14ac:dyDescent="0.2">
      <c r="A80">
        <f>'SET100'!A80</f>
        <v>79</v>
      </c>
      <c r="B80" t="str">
        <f>'SET100'!B80</f>
        <v>TFG</v>
      </c>
      <c r="C80" s="4">
        <f>'SET100'!C80</f>
        <v>14300</v>
      </c>
      <c r="D80" t="str">
        <f>'SET100'!D80</f>
        <v>อาหาร</v>
      </c>
      <c r="E80">
        <f>'SET100'!O80</f>
        <v>0</v>
      </c>
      <c r="F80">
        <f>'SET100'!P80</f>
        <v>0</v>
      </c>
    </row>
    <row r="81" spans="1:6" x14ac:dyDescent="0.2">
      <c r="A81">
        <f>'SET100'!A81</f>
        <v>80</v>
      </c>
      <c r="B81" t="str">
        <f>'SET100'!B81</f>
        <v>BTG</v>
      </c>
      <c r="C81" s="4">
        <f>'SET100'!C81</f>
        <v>13900</v>
      </c>
      <c r="D81" t="str">
        <f>'SET100'!D81</f>
        <v>อาหาร</v>
      </c>
      <c r="E81">
        <f>'SET100'!O81</f>
        <v>0</v>
      </c>
      <c r="F81">
        <f>'SET100'!P81</f>
        <v>0</v>
      </c>
    </row>
    <row r="82" spans="1:6" x14ac:dyDescent="0.2">
      <c r="A82">
        <f>'SET100'!A82</f>
        <v>81</v>
      </c>
      <c r="B82" t="str">
        <f>'SET100'!B82</f>
        <v>GFPT</v>
      </c>
      <c r="C82" s="4">
        <f>'SET100'!C82</f>
        <v>13500</v>
      </c>
      <c r="D82" t="str">
        <f>'SET100'!D82</f>
        <v>เกษตร</v>
      </c>
      <c r="E82">
        <f>'SET100'!O82</f>
        <v>0</v>
      </c>
      <c r="F82">
        <f>'SET100'!P82</f>
        <v>0</v>
      </c>
    </row>
    <row r="83" spans="1:6" x14ac:dyDescent="0.2">
      <c r="A83">
        <f>'SET100'!A83</f>
        <v>82</v>
      </c>
      <c r="B83" t="str">
        <f>'SET100'!B83</f>
        <v>MOSHI</v>
      </c>
      <c r="C83" s="4">
        <f>'SET100'!C83</f>
        <v>13100</v>
      </c>
      <c r="D83" t="str">
        <f>'SET100'!D83</f>
        <v>พาณิชย์</v>
      </c>
      <c r="E83">
        <f>'SET100'!O83</f>
        <v>0</v>
      </c>
      <c r="F83">
        <f>'SET100'!P83</f>
        <v>0</v>
      </c>
    </row>
    <row r="84" spans="1:6" x14ac:dyDescent="0.2">
      <c r="A84">
        <f>'SET100'!A84</f>
        <v>83</v>
      </c>
      <c r="B84" t="str">
        <f>'SET100'!B84</f>
        <v>ERW</v>
      </c>
      <c r="C84" s="4">
        <f>'SET100'!C84</f>
        <v>12500</v>
      </c>
      <c r="D84" t="str">
        <f>'SET100'!D84</f>
        <v>ท่องเที่ยว</v>
      </c>
      <c r="E84">
        <f>'SET100'!O84</f>
        <v>0</v>
      </c>
      <c r="F84">
        <f>'SET100'!P84</f>
        <v>0</v>
      </c>
    </row>
    <row r="85" spans="1:6" x14ac:dyDescent="0.2">
      <c r="A85">
        <f>'SET100'!A85</f>
        <v>84</v>
      </c>
      <c r="B85" t="str">
        <f>'SET100'!B85</f>
        <v>CENTEL</v>
      </c>
      <c r="C85" s="4">
        <f>'SET100'!C85</f>
        <v>12000</v>
      </c>
      <c r="D85" t="str">
        <f>'SET100'!D85</f>
        <v>ท่องเที่ยว</v>
      </c>
      <c r="E85">
        <f>'SET100'!O85</f>
        <v>0</v>
      </c>
      <c r="F85">
        <f>'SET100'!P85</f>
        <v>0</v>
      </c>
    </row>
    <row r="86" spans="1:6" x14ac:dyDescent="0.2">
      <c r="A86">
        <f>'SET100'!A86</f>
        <v>85</v>
      </c>
      <c r="B86" t="str">
        <f>'SET100'!B86</f>
        <v>AAV</v>
      </c>
      <c r="C86" s="4">
        <f>'SET100'!C86</f>
        <v>11500</v>
      </c>
      <c r="D86" t="str">
        <f>'SET100'!D86</f>
        <v>ขนส่ง</v>
      </c>
      <c r="E86">
        <f>'SET100'!O86</f>
        <v>0</v>
      </c>
      <c r="F86">
        <f>'SET100'!P86</f>
        <v>0</v>
      </c>
    </row>
    <row r="87" spans="1:6" x14ac:dyDescent="0.2">
      <c r="A87">
        <f>'SET100'!A87</f>
        <v>86</v>
      </c>
      <c r="B87" t="str">
        <f>'SET100'!B87</f>
        <v>BA</v>
      </c>
      <c r="C87" s="4">
        <f>'SET100'!C87</f>
        <v>11100</v>
      </c>
      <c r="D87" t="str">
        <f>'SET100'!D87</f>
        <v>ขนส่ง</v>
      </c>
      <c r="E87">
        <f>'SET100'!O87</f>
        <v>0</v>
      </c>
      <c r="F87">
        <f>'SET100'!P87</f>
        <v>0</v>
      </c>
    </row>
    <row r="88" spans="1:6" x14ac:dyDescent="0.2">
      <c r="A88">
        <f>'SET100'!A88</f>
        <v>87</v>
      </c>
      <c r="B88" t="str">
        <f>'SET100'!B88</f>
        <v>STECON</v>
      </c>
      <c r="C88" s="4">
        <f>'SET100'!C88</f>
        <v>10700</v>
      </c>
      <c r="D88" t="str">
        <f>'SET100'!D88</f>
        <v>รับเหมา</v>
      </c>
      <c r="E88">
        <f>'SET100'!O88</f>
        <v>0</v>
      </c>
      <c r="F88">
        <f>'SET100'!P88</f>
        <v>0</v>
      </c>
    </row>
    <row r="89" spans="1:6" x14ac:dyDescent="0.2">
      <c r="A89">
        <f>'SET100'!A89</f>
        <v>88</v>
      </c>
      <c r="B89" t="str">
        <f>'SET100'!B89</f>
        <v>JTS</v>
      </c>
      <c r="C89" s="4">
        <f>'SET100'!C89</f>
        <v>10100</v>
      </c>
      <c r="D89" t="str">
        <f>'SET100'!D89</f>
        <v>เทคโนโลยี</v>
      </c>
      <c r="E89">
        <f>'SET100'!O89</f>
        <v>0</v>
      </c>
      <c r="F89">
        <f>'SET100'!P89</f>
        <v>0</v>
      </c>
    </row>
    <row r="90" spans="1:6" x14ac:dyDescent="0.2">
      <c r="A90">
        <f>'SET100'!A90</f>
        <v>89</v>
      </c>
      <c r="B90" t="str">
        <f>'SET100'!B90</f>
        <v>THANI</v>
      </c>
      <c r="C90" s="4">
        <f>'SET100'!C90</f>
        <v>9200</v>
      </c>
      <c r="D90" t="str">
        <f>'SET100'!D90</f>
        <v>เงินทุน</v>
      </c>
      <c r="E90">
        <f>'SET100'!O90</f>
        <v>0</v>
      </c>
      <c r="F90">
        <f>'SET100'!P90</f>
        <v>1</v>
      </c>
    </row>
    <row r="91" spans="1:6" x14ac:dyDescent="0.2">
      <c r="A91">
        <f>'SET100'!A91</f>
        <v>90</v>
      </c>
      <c r="B91" t="str">
        <f>'SET100'!B91</f>
        <v>SNNP</v>
      </c>
      <c r="C91" s="4">
        <f>'SET100'!C91</f>
        <v>8700</v>
      </c>
      <c r="D91" t="str">
        <f>'SET100'!D91</f>
        <v>อาหาร</v>
      </c>
      <c r="E91">
        <f>'SET100'!O91</f>
        <v>0</v>
      </c>
      <c r="F91">
        <f>'SET100'!P91</f>
        <v>0</v>
      </c>
    </row>
    <row r="92" spans="1:6" x14ac:dyDescent="0.2">
      <c r="A92">
        <f>'SET100'!A92</f>
        <v>91</v>
      </c>
      <c r="B92" t="str">
        <f>'SET100'!B92</f>
        <v>SPA</v>
      </c>
      <c r="C92" s="4">
        <f>'SET100'!C92</f>
        <v>8200</v>
      </c>
      <c r="D92" t="str">
        <f>'SET100'!D92</f>
        <v>บริการ</v>
      </c>
      <c r="E92">
        <f>'SET100'!O92</f>
        <v>0</v>
      </c>
      <c r="F92">
        <f>'SET100'!P92</f>
        <v>0</v>
      </c>
    </row>
    <row r="93" spans="1:6" x14ac:dyDescent="0.2">
      <c r="A93">
        <f>'SET100'!A93</f>
        <v>92</v>
      </c>
      <c r="B93" t="str">
        <f>'SET100'!B93</f>
        <v>MEB</v>
      </c>
      <c r="C93" s="4">
        <f>'SET100'!C93</f>
        <v>7800</v>
      </c>
      <c r="D93" t="str">
        <f>'SET100'!D93</f>
        <v>บริการ</v>
      </c>
      <c r="E93">
        <f>'SET100'!O93</f>
        <v>0</v>
      </c>
      <c r="F93">
        <f>'SET100'!P93</f>
        <v>0</v>
      </c>
    </row>
    <row r="94" spans="1:6" x14ac:dyDescent="0.2">
      <c r="A94">
        <f>'SET100'!A94</f>
        <v>93</v>
      </c>
      <c r="B94" t="str">
        <f>'SET100'!B94</f>
        <v>FORTH</v>
      </c>
      <c r="C94" s="4">
        <f>'SET100'!C94</f>
        <v>7500</v>
      </c>
      <c r="D94" t="str">
        <f>'SET100'!D94</f>
        <v>เทคโนโลยี</v>
      </c>
      <c r="E94">
        <f>'SET100'!O94</f>
        <v>0</v>
      </c>
      <c r="F94">
        <f>'SET100'!P94</f>
        <v>0</v>
      </c>
    </row>
    <row r="95" spans="1:6" x14ac:dyDescent="0.2">
      <c r="A95">
        <f>'SET100'!A95</f>
        <v>94</v>
      </c>
      <c r="B95" t="str">
        <f>'SET100'!B95</f>
        <v>KISS</v>
      </c>
      <c r="C95" s="4">
        <f>'SET100'!C95</f>
        <v>7100</v>
      </c>
      <c r="D95" t="str">
        <f>'SET100'!D95</f>
        <v>อุปโภคบริโภค</v>
      </c>
      <c r="E95">
        <f>'SET100'!O95</f>
        <v>0</v>
      </c>
      <c r="F95">
        <f>'SET100'!P95</f>
        <v>0</v>
      </c>
    </row>
    <row r="96" spans="1:6" x14ac:dyDescent="0.2">
      <c r="A96">
        <f>'SET100'!A96</f>
        <v>95</v>
      </c>
      <c r="B96" t="str">
        <f>'SET100'!B96</f>
        <v>NSL</v>
      </c>
      <c r="C96" s="4">
        <f>'SET100'!C96</f>
        <v>6800</v>
      </c>
      <c r="D96" t="str">
        <f>'SET100'!D96</f>
        <v>อาหาร</v>
      </c>
      <c r="E96">
        <f>'SET100'!O96</f>
        <v>0</v>
      </c>
      <c r="F96">
        <f>'SET100'!P96</f>
        <v>0</v>
      </c>
    </row>
    <row r="97" spans="1:6" x14ac:dyDescent="0.2">
      <c r="A97">
        <f>'SET100'!A97</f>
        <v>96</v>
      </c>
      <c r="B97" t="str">
        <f>'SET100'!B97</f>
        <v>MALEE</v>
      </c>
      <c r="C97" s="4">
        <f>'SET100'!C97</f>
        <v>6400</v>
      </c>
      <c r="D97" t="str">
        <f>'SET100'!D97</f>
        <v>อาหาร</v>
      </c>
      <c r="E97">
        <f>'SET100'!O97</f>
        <v>0</v>
      </c>
      <c r="F97">
        <f>'SET100'!P97</f>
        <v>0</v>
      </c>
    </row>
    <row r="98" spans="1:6" x14ac:dyDescent="0.2">
      <c r="A98">
        <f>'SET100'!A98</f>
        <v>97</v>
      </c>
      <c r="B98" t="str">
        <f>'SET100'!B98</f>
        <v>SABINA</v>
      </c>
      <c r="C98" s="4">
        <f>'SET100'!C98</f>
        <v>6100</v>
      </c>
      <c r="D98" t="str">
        <f>'SET100'!D98</f>
        <v>แฟชั่น</v>
      </c>
      <c r="E98">
        <f>'SET100'!O98</f>
        <v>0</v>
      </c>
      <c r="F98">
        <f>'SET100'!P98</f>
        <v>1</v>
      </c>
    </row>
    <row r="99" spans="1:6" x14ac:dyDescent="0.2">
      <c r="A99">
        <f>'SET100'!A99</f>
        <v>98</v>
      </c>
      <c r="B99" t="str">
        <f>'SET100'!B99</f>
        <v>AU</v>
      </c>
      <c r="C99" s="4">
        <f>'SET100'!C99</f>
        <v>5800</v>
      </c>
      <c r="D99" t="str">
        <f>'SET100'!D99</f>
        <v>อาหาร</v>
      </c>
      <c r="E99">
        <f>'SET100'!O99</f>
        <v>0</v>
      </c>
      <c r="F99">
        <f>'SET100'!P99</f>
        <v>0</v>
      </c>
    </row>
    <row r="100" spans="1:6" x14ac:dyDescent="0.2">
      <c r="A100">
        <f>'SET100'!A100</f>
        <v>99</v>
      </c>
      <c r="B100" t="str">
        <f>'SET100'!B100</f>
        <v>MASTER</v>
      </c>
      <c r="C100" s="4">
        <f>'SET100'!C100</f>
        <v>5500</v>
      </c>
      <c r="D100" t="str">
        <f>'SET100'!D100</f>
        <v>บริการ</v>
      </c>
      <c r="E100">
        <f>'SET100'!O100</f>
        <v>0</v>
      </c>
      <c r="F100">
        <f>'SET100'!P100</f>
        <v>0</v>
      </c>
    </row>
    <row r="101" spans="1:6" x14ac:dyDescent="0.2">
      <c r="A101">
        <f>'SET100'!A101</f>
        <v>100</v>
      </c>
      <c r="B101" t="str">
        <f>'SET100'!B101</f>
        <v>PLANB</v>
      </c>
      <c r="C101" s="4">
        <f>'SET100'!C101</f>
        <v>5200</v>
      </c>
      <c r="D101" t="str">
        <f>'SET100'!D101</f>
        <v>บริการ</v>
      </c>
      <c r="E101">
        <f>'SET100'!O101</f>
        <v>0</v>
      </c>
      <c r="F101">
        <f>'SET100'!P101</f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SET100</vt:lpstr>
      <vt:lpstr>GSymbol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2026-02-10T09:00:07Z</dcterms:modified>
</cp:coreProperties>
</file>